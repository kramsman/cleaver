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codeName="ThisWorkbook" hidePivotFieldList="1" defaultThemeVersion="166925"/>
  <mc:AlternateContent xmlns:mc="http://schemas.openxmlformats.org/markup-compatibility/2006">
    <mc:Choice Requires="x15">
      <x15ac:absPath xmlns:x15ac="http://schemas.microsoft.com/office/spreadsheetml/2010/11/ac" url="/Users/Denise/Library/CloudStorage/Dropbox/Postcard Files/PythonPrograms/Development/ROVCleaver/WorkCampaign/"/>
    </mc:Choice>
  </mc:AlternateContent>
  <xr:revisionPtr revIDLastSave="0" documentId="13_ncr:1_{7D235DFA-B0B5-B14A-9DB1-285A20E00D69}" xr6:coauthVersionLast="36" xr6:coauthVersionMax="47" xr10:uidLastSave="{00000000-0000-0000-0000-000000000000}"/>
  <bookViews>
    <workbookView xWindow="2860" yWindow="2940" windowWidth="25940" windowHeight="14100" activeTab="1" xr2:uid="{A3D11580-81DE-480D-BED2-9222F9450ACB}"/>
  </bookViews>
  <sheets>
    <sheet name="Setup" sheetId="39" r:id="rId1"/>
    <sheet name="FileList" sheetId="7" r:id="rId2"/>
    <sheet name="first_code" sheetId="37" r:id="rId3"/>
    <sheet name="middle_code" sheetId="36" r:id="rId4"/>
    <sheet name="last_code" sheetId="42" r:id="rId5"/>
    <sheet name="ZipSkip" sheetId="34" r:id="rId6"/>
    <sheet name="FormatCopies" sheetId="33" r:id="rId7"/>
    <sheet name="Sincere Patterns" sheetId="43" r:id="rId8"/>
    <sheet name="Load VL checklist group5" sheetId="21" r:id="rId9"/>
    <sheet name="Load VL checklist group4" sheetId="44" r:id="rId10"/>
    <sheet name="std field lists" sheetId="10" r:id="rId11"/>
    <sheet name="last_code_old" sheetId="35" r:id="rId12"/>
  </sheets>
  <definedNames>
    <definedName name="_xlnm._FilterDatabase" localSheetId="1" hidden="1">FileList!$A$3:$G$10</definedName>
    <definedName name="postfix" localSheetId="4">'Load VL checklist group5'!#REF!</definedName>
    <definedName name="postfix" localSheetId="9">'Load VL checklist group4'!#REF!</definedName>
    <definedName name="postfix">'Load VL checklist group5'!#REF!</definedName>
    <definedName name="_xlnm.Print_Area" localSheetId="0">Setup!$G$1:$L$192</definedName>
    <definedName name="state" localSheetId="9">'Load VL checklist group4'!$B$2</definedName>
    <definedName name="state">'Load VL checklist group5'!$B$2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5" i="21" l="1"/>
  <c r="F24" i="21"/>
  <c r="F23" i="21"/>
  <c r="F22" i="21"/>
  <c r="F21" i="21"/>
  <c r="F20" i="21"/>
  <c r="F19" i="21"/>
  <c r="F18" i="21"/>
  <c r="F17" i="21"/>
  <c r="F16" i="21"/>
  <c r="F15" i="21"/>
  <c r="F14" i="21"/>
  <c r="F13" i="21"/>
  <c r="F12" i="21"/>
  <c r="F11" i="21"/>
  <c r="F45" i="44"/>
  <c r="F44" i="44"/>
  <c r="F43" i="44"/>
  <c r="E42" i="44"/>
  <c r="F42" i="44" s="1"/>
  <c r="F41" i="44"/>
  <c r="F40" i="44"/>
  <c r="F39" i="44"/>
  <c r="F38" i="44"/>
  <c r="F37" i="44"/>
  <c r="F36" i="44"/>
  <c r="F35" i="44"/>
  <c r="F34" i="44"/>
  <c r="F33" i="44"/>
  <c r="F32" i="44"/>
  <c r="F31" i="44"/>
  <c r="F30" i="44"/>
  <c r="F29" i="44"/>
  <c r="F28" i="44"/>
  <c r="F27" i="44"/>
  <c r="F26" i="44"/>
  <c r="F25" i="44"/>
  <c r="F24" i="44"/>
  <c r="F23" i="44"/>
  <c r="F22" i="44"/>
  <c r="F21" i="44"/>
  <c r="F20" i="44"/>
  <c r="F19" i="44"/>
  <c r="F18" i="44"/>
  <c r="F17" i="44"/>
  <c r="F16" i="44"/>
  <c r="F15" i="44"/>
  <c r="F14" i="44"/>
  <c r="F13" i="44"/>
  <c r="F12" i="44"/>
  <c r="F11" i="44"/>
  <c r="F10" i="44"/>
  <c r="B8" i="44"/>
  <c r="D3" i="44"/>
  <c r="B2" i="44"/>
  <c r="C7" i="43" l="1"/>
  <c r="C29" i="43"/>
  <c r="C34" i="43" l="1"/>
  <c r="C35" i="43" s="1"/>
  <c r="C36" i="43" s="1"/>
  <c r="C39" i="43" s="1"/>
  <c r="C12" i="43"/>
  <c r="C13" i="43" s="1"/>
  <c r="C14" i="43" l="1"/>
  <c r="C16" i="43" s="1"/>
  <c r="F10" i="21" l="1"/>
  <c r="D3" i="21" l="1"/>
  <c r="B2" i="21" l="1"/>
  <c r="B8" i="2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B1" authorId="0" shapeId="0" xr:uid="{A2E57181-DC22-6B4F-AE78-23A57FAE313B}">
      <text>
        <r>
          <rPr>
            <b/>
            <sz val="10"/>
            <color rgb="FF000000"/>
            <rFont val="Tahoma"/>
            <family val="2"/>
          </rPr>
          <t>Brian Kramer:</t>
        </r>
        <r>
          <rPr>
            <sz val="10"/>
            <color rgb="FF000000"/>
            <rFont val="Tahoma"/>
            <family val="2"/>
          </rPr>
          <t xml:space="preserve">
</t>
        </r>
        <r>
          <rPr>
            <sz val="10"/>
            <color rgb="FF000000"/>
            <rFont val="Tahoma"/>
            <family val="2"/>
          </rPr>
          <t>SetupFormat16</t>
        </r>
      </text>
    </comment>
    <comment ref="D1" authorId="0" shapeId="0" xr:uid="{FC6A15EC-85D9-2745-A60B-B6CB726AA6EC}">
      <text>
        <r>
          <rPr>
            <b/>
            <sz val="10"/>
            <color rgb="FF000000"/>
            <rFont val="Tahoma"/>
            <family val="2"/>
          </rPr>
          <t>Brian Kramer:</t>
        </r>
        <r>
          <rPr>
            <sz val="10"/>
            <color rgb="FF000000"/>
            <rFont val="Tahoma"/>
            <family val="2"/>
          </rPr>
          <t xml:space="preserve">
</t>
        </r>
        <r>
          <rPr>
            <sz val="10"/>
            <color rgb="FF000000"/>
            <rFont val="Tahoma"/>
            <family val="2"/>
          </rPr>
          <t>Must be true to keep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A1" authorId="0" shapeId="0" xr:uid="{7AC06AEF-0766-3348-9105-2C1D6CC0B050}">
      <text>
        <r>
          <rPr>
            <b/>
            <sz val="10"/>
            <color rgb="FF000000"/>
            <rFont val="Tahoma"/>
            <family val="2"/>
          </rPr>
          <t>Brian Kramer:</t>
        </r>
        <r>
          <rPr>
            <sz val="10"/>
            <color rgb="FF000000"/>
            <rFont val="Tahoma"/>
            <family val="2"/>
          </rPr>
          <t xml:space="preserve">
</t>
        </r>
        <r>
          <rPr>
            <sz val="10"/>
            <color rgb="FF000000"/>
            <rFont val="Tahoma"/>
            <family val="2"/>
          </rPr>
          <t>Do not change this text as it is used in the program to verify the file format.</t>
        </r>
      </text>
    </comment>
    <comment ref="A2" authorId="0" shapeId="0" xr:uid="{67AFEAC4-95D5-7049-8802-A61353A9A5CE}">
      <text>
        <r>
          <rPr>
            <b/>
            <sz val="10"/>
            <color rgb="FF000000"/>
            <rFont val="Tahoma"/>
            <family val="2"/>
          </rPr>
          <t>Brian Kramer:</t>
        </r>
        <r>
          <rPr>
            <sz val="10"/>
            <color rgb="FF000000"/>
            <rFont val="Tahoma"/>
            <family val="2"/>
          </rPr>
          <t xml:space="preserve">
</t>
        </r>
        <r>
          <rPr>
            <sz val="10"/>
            <color rgb="FF000000"/>
            <rFont val="Calibri"/>
            <scheme val="minor"/>
          </rPr>
          <t>Do not change this text as it is used in the program to verify the file format.</t>
        </r>
        <r>
          <rPr>
            <sz val="10"/>
            <color rgb="FF000000"/>
            <rFont val="Calibri"/>
            <scheme val="minor"/>
          </rPr>
          <t xml:space="preserve">
</t>
        </r>
      </text>
    </comment>
    <comment ref="A3" authorId="0" shapeId="0" xr:uid="{FE08C722-80B9-E64F-960D-B18EDD4A84CB}">
      <text>
        <r>
          <rPr>
            <b/>
            <sz val="10"/>
            <color rgb="FF000000"/>
            <rFont val="Tahoma"/>
            <family val="2"/>
          </rPr>
          <t>Brian Kramer:</t>
        </r>
        <r>
          <rPr>
            <sz val="10"/>
            <color rgb="FF000000"/>
            <rFont val="Tahoma"/>
            <family val="2"/>
          </rPr>
          <t xml:space="preserve">
</t>
        </r>
        <r>
          <rPr>
            <sz val="10"/>
            <color rgb="FF000000"/>
            <rFont val="Tahoma"/>
            <family val="2"/>
          </rPr>
          <t>Copy file names from RawData.  In Finder, select all files (Ctrl + A) &gt; right click &gt; copy</t>
        </r>
      </text>
    </comment>
    <comment ref="C3" authorId="0" shapeId="0" xr:uid="{7E47F27B-6C41-5F4C-98E0-EB5AAD4D5257}">
      <text>
        <r>
          <rPr>
            <b/>
            <sz val="10"/>
            <color rgb="FF000000"/>
            <rFont val="Tahoma"/>
            <family val="2"/>
          </rPr>
          <t>Brian Kramer:</t>
        </r>
        <r>
          <rPr>
            <sz val="10"/>
            <color rgb="FF000000"/>
            <rFont val="Tahoma"/>
            <family val="2"/>
          </rPr>
          <t xml:space="preserve">
</t>
        </r>
        <r>
          <rPr>
            <sz val="10"/>
            <color rgb="FF000000"/>
            <rFont val="Tahoma"/>
            <family val="2"/>
          </rPr>
          <t>Used by CopyAttachments program only to id which get copied.  Starts fresh with each merge.</t>
        </r>
      </text>
    </comment>
    <comment ref="D3" authorId="0" shapeId="0" xr:uid="{7C14879A-CCD6-4842-A09F-5F01D964DC85}">
      <text>
        <r>
          <rPr>
            <b/>
            <sz val="10"/>
            <color rgb="FF000000"/>
            <rFont val="Tahoma"/>
            <family val="2"/>
          </rPr>
          <t>Brian Kramer:</t>
        </r>
        <r>
          <rPr>
            <sz val="10"/>
            <color rgb="FF000000"/>
            <rFont val="Tahoma"/>
            <family val="2"/>
          </rPr>
          <t xml:space="preserve">
</t>
        </r>
        <r>
          <rPr>
            <sz val="10"/>
            <color rgb="FF000000"/>
            <rFont val="Tahoma"/>
            <family val="2"/>
          </rPr>
          <t>New in Format4 setup</t>
        </r>
      </text>
    </comment>
    <comment ref="E3" authorId="0" shapeId="0" xr:uid="{0D579CC6-F6CE-4742-BDA7-8B475528C61C}">
      <text>
        <r>
          <rPr>
            <b/>
            <sz val="10"/>
            <color rgb="FF000000"/>
            <rFont val="Tahoma"/>
            <family val="2"/>
          </rPr>
          <t>Brian Kramer:</t>
        </r>
        <r>
          <rPr>
            <sz val="10"/>
            <color rgb="FF000000"/>
            <rFont val="Tahoma"/>
            <family val="2"/>
          </rPr>
          <t xml:space="preserve">
</t>
        </r>
        <r>
          <rPr>
            <sz val="10"/>
            <color rgb="FF000000"/>
            <rFont val="Tahoma"/>
            <family val="2"/>
          </rPr>
          <t xml:space="preserve">These files are expecvted to be in a sub dir named </t>
        </r>
        <r>
          <rPr>
            <sz val="10"/>
            <color rgb="FF000000"/>
            <rFont val="Calibri"/>
            <family val="2"/>
          </rPr>
          <t>'UpdateFiles' off root.  Existence is checked if update set.</t>
        </r>
      </text>
    </comment>
    <comment ref="F3" authorId="0" shapeId="0" xr:uid="{7D8AC048-4200-8046-BC0B-03D03BF314AA}">
      <text>
        <r>
          <rPr>
            <b/>
            <sz val="10"/>
            <color rgb="FF000000"/>
            <rFont val="Tahoma"/>
            <family val="2"/>
          </rPr>
          <t>Brian Kramer:</t>
        </r>
        <r>
          <rPr>
            <sz val="10"/>
            <color rgb="FF000000"/>
            <rFont val="Tahoma"/>
            <family val="2"/>
          </rPr>
          <t xml:space="preserve">
</t>
        </r>
        <r>
          <rPr>
            <sz val="10"/>
            <color rgb="FF000000"/>
            <rFont val="Tahoma"/>
            <family val="2"/>
          </rPr>
          <t>pull_group is brought into program automatically.  Expected to be numeric.  Used to sort in dupes, later/larger are considered unwanted duplicates over lower..</t>
        </r>
      </text>
    </comment>
    <comment ref="G3" authorId="0" shapeId="0" xr:uid="{1CD418E0-6E20-C545-B580-44F70A67FB9D}">
      <text>
        <r>
          <rPr>
            <b/>
            <sz val="10"/>
            <color rgb="FF000000"/>
            <rFont val="Tahoma"/>
            <family val="2"/>
          </rPr>
          <t>Brian Kramer:</t>
        </r>
        <r>
          <rPr>
            <sz val="10"/>
            <color rgb="FF000000"/>
            <rFont val="Tahoma"/>
            <family val="2"/>
          </rPr>
          <t xml:space="preserve">
Used in middle_code. Can be any value.
</t>
        </r>
      </text>
    </comment>
    <comment ref="H3" authorId="0" shapeId="0" xr:uid="{1D14363D-563F-8E4D-9139-4EE37E1159CB}">
      <text>
        <r>
          <rPr>
            <b/>
            <sz val="10"/>
            <color rgb="FF000000"/>
            <rFont val="Tahoma"/>
            <family val="2"/>
          </rPr>
          <t>Brian Kramer:</t>
        </r>
        <r>
          <rPr>
            <sz val="10"/>
            <color rgb="FF000000"/>
            <rFont val="Tahoma"/>
            <family val="2"/>
          </rPr>
          <t xml:space="preserve">
Can be anything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A1" authorId="0" shapeId="0" xr:uid="{8464C6BE-7C56-6A4D-93A1-8BD95CAAD589}">
      <text>
        <r>
          <rPr>
            <b/>
            <sz val="10"/>
            <color rgb="FF000000"/>
            <rFont val="Tahoma"/>
            <family val="2"/>
          </rPr>
          <t>Brian Kramer:</t>
        </r>
        <r>
          <rPr>
            <sz val="10"/>
            <color rgb="FF000000"/>
            <rFont val="Tahoma"/>
            <family val="2"/>
          </rPr>
          <t xml:space="preserve">
</t>
        </r>
        <r>
          <rPr>
            <sz val="10"/>
            <color rgb="FF000000"/>
            <rFont val="Tahoma"/>
            <family val="2"/>
          </rPr>
          <t xml:space="preserve">County specified because other mismatched counties for zip may be rghtly mismatched. 
</t>
        </r>
        <r>
          <rPr>
            <sz val="10"/>
            <color rgb="FF000000"/>
            <rFont val="Tahoma"/>
            <family val="2"/>
          </rPr>
          <t xml:space="preserve">
</t>
        </r>
        <r>
          <rPr>
            <sz val="10"/>
            <color rgb="FF000000"/>
            <rFont val="Tahoma"/>
            <family val="2"/>
          </rPr>
          <t>Should match standardized version shown in report.  Lower case is used for compare.</t>
        </r>
      </text>
    </comment>
    <comment ref="B1" authorId="0" shapeId="0" xr:uid="{30E7F531-DF54-6347-8117-02089E810E22}">
      <text>
        <r>
          <rPr>
            <b/>
            <sz val="10"/>
            <color rgb="FF000000"/>
            <rFont val="Tahoma"/>
            <family val="2"/>
          </rPr>
          <t>Brian Kramer:</t>
        </r>
        <r>
          <rPr>
            <sz val="10"/>
            <color rgb="FF000000"/>
            <rFont val="Tahoma"/>
            <family val="2"/>
          </rPr>
          <t xml:space="preserve">
</t>
        </r>
        <r>
          <rPr>
            <sz val="10"/>
            <color rgb="FF000000"/>
            <rFont val="Tahoma"/>
            <family val="2"/>
          </rPr>
          <t>Numeric is used for compare</t>
        </r>
      </text>
    </comment>
    <comment ref="C1" authorId="0" shapeId="0" xr:uid="{AAB43AEE-CE41-A240-9E92-22E1D4F59818}">
      <text>
        <r>
          <rPr>
            <b/>
            <sz val="10"/>
            <color rgb="FF000000"/>
            <rFont val="Tahoma"/>
            <family val="2"/>
          </rPr>
          <t>Brian Kramer:</t>
        </r>
        <r>
          <rPr>
            <sz val="10"/>
            <color rgb="FF000000"/>
            <rFont val="Tahoma"/>
            <family val="2"/>
          </rPr>
          <t xml:space="preserve">
</t>
        </r>
        <r>
          <rPr>
            <sz val="10"/>
            <color rgb="FF000000"/>
            <rFont val="Tahoma"/>
            <family val="2"/>
          </rPr>
          <t>Other columns than first two are ignored and can be used for notes.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Brian Kramer</author>
  </authors>
  <commentList>
    <comment ref="P5" authorId="0" shapeId="0" xr:uid="{859EBF07-8753-CE43-BFFD-2E60E5452062}">
      <text>
        <r>
          <rPr>
            <b/>
            <sz val="10"/>
            <color rgb="FF000000"/>
            <rFont val="Tahoma"/>
            <family val="2"/>
          </rPr>
          <t>Brian Kramer:</t>
        </r>
        <r>
          <rPr>
            <sz val="10"/>
            <color rgb="FF000000"/>
            <rFont val="Tahoma"/>
            <family val="2"/>
          </rPr>
          <t xml:space="preserve">
</t>
        </r>
        <r>
          <rPr>
            <sz val="10"/>
            <color rgb="FF000000"/>
            <rFont val="Tahoma"/>
            <family val="2"/>
          </rPr>
          <t xml:space="preserve">moved and renamed
</t>
        </r>
      </text>
    </comment>
  </commentList>
</comments>
</file>

<file path=xl/sharedStrings.xml><?xml version="1.0" encoding="utf-8"?>
<sst xmlns="http://schemas.openxmlformats.org/spreadsheetml/2006/main" count="1389" uniqueCount="689">
  <si>
    <t>File</t>
  </si>
  <si>
    <t>x</t>
  </si>
  <si>
    <t>ConcatFile</t>
  </si>
  <si>
    <t>FormatFile</t>
  </si>
  <si>
    <t>Notes</t>
  </si>
  <si>
    <t>County</t>
  </si>
  <si>
    <t>FirstName</t>
  </si>
  <si>
    <t>LastName</t>
  </si>
  <si>
    <t>Address</t>
  </si>
  <si>
    <t>City</t>
  </si>
  <si>
    <t>State</t>
  </si>
  <si>
    <t>Zip</t>
  </si>
  <si>
    <t>Sex</t>
  </si>
  <si>
    <t xml:space="preserve">Age </t>
  </si>
  <si>
    <t>address</t>
  </si>
  <si>
    <t>address2</t>
  </si>
  <si>
    <t>city</t>
  </si>
  <si>
    <t>zip</t>
  </si>
  <si>
    <t>SPLITTER INFO</t>
  </si>
  <si>
    <t>county</t>
  </si>
  <si>
    <t>firstname</t>
  </si>
  <si>
    <t>state</t>
  </si>
  <si>
    <t>lastname</t>
  </si>
  <si>
    <t>age</t>
  </si>
  <si>
    <t>sex</t>
  </si>
  <si>
    <t>MailFile.CSV</t>
  </si>
  <si>
    <t>DRLINE</t>
  </si>
  <si>
    <t>DRLINE2</t>
  </si>
  <si>
    <t>HNAME1</t>
  </si>
  <si>
    <t>HNAME2</t>
  </si>
  <si>
    <t>HNAME3</t>
  </si>
  <si>
    <t>HNAME4</t>
  </si>
  <si>
    <t>HNAME5</t>
  </si>
  <si>
    <t>MADDRESS1</t>
  </si>
  <si>
    <t>MADDRESS2</t>
  </si>
  <si>
    <t>MCITY</t>
  </si>
  <si>
    <t>MSTATE</t>
  </si>
  <si>
    <t>MZIP</t>
  </si>
  <si>
    <t>MZIP4</t>
  </si>
  <si>
    <t>PRECINCT</t>
  </si>
  <si>
    <t>ELECTIONPRECINCT</t>
  </si>
  <si>
    <t>POLLDESCRIPTION1</t>
  </si>
  <si>
    <t>POLLDESCRIPTION2</t>
  </si>
  <si>
    <t>POLLADDRESS1</t>
  </si>
  <si>
    <t>CD</t>
  </si>
  <si>
    <t>SD</t>
  </si>
  <si>
    <t>AD</t>
  </si>
  <si>
    <t>COUNTYFIPS</t>
  </si>
  <si>
    <t>COUNTYNAME</t>
  </si>
  <si>
    <t>firsttemp</t>
  </si>
  <si>
    <t>Prince William County.csv</t>
  </si>
  <si>
    <t>Loudoun County Postcards.csv</t>
  </si>
  <si>
    <t>Newport News Postcards.csv</t>
  </si>
  <si>
    <t>Henrico.csv</t>
  </si>
  <si>
    <t>addresstemp</t>
  </si>
  <si>
    <t>COUNTY</t>
  </si>
  <si>
    <t>filefield</t>
  </si>
  <si>
    <t>name</t>
  </si>
  <si>
    <t>UpdateFile</t>
  </si>
  <si>
    <t>L2 Catalyst</t>
  </si>
  <si>
    <t>StateID</t>
  </si>
  <si>
    <t>First Name</t>
  </si>
  <si>
    <t>Middle Name</t>
  </si>
  <si>
    <t>Last Name</t>
  </si>
  <si>
    <t>VoterTelephones_FullPhone</t>
  </si>
  <si>
    <t>Telephones_Phone10</t>
  </si>
  <si>
    <t>VoterTelephones_TelCellFlag</t>
  </si>
  <si>
    <t>Cell Phone</t>
  </si>
  <si>
    <t>View_Ops_CellPhone_FullPhone</t>
  </si>
  <si>
    <t>Residence_Addresses_AddressLine</t>
  </si>
  <si>
    <t>Residence_Addresses_ExtraAddressLine</t>
  </si>
  <si>
    <t>Residence_Addresses_City</t>
  </si>
  <si>
    <t>Residence_Addresses_State</t>
  </si>
  <si>
    <t>Residence_Addresses_Zip</t>
  </si>
  <si>
    <t>Residence_Addresses_ZipPlus4</t>
  </si>
  <si>
    <t>Mailing_Addresses_AddressLine</t>
  </si>
  <si>
    <t>Mailing_Addresses_ExtraAddressLine</t>
  </si>
  <si>
    <t>Mailing_Addresses_City</t>
  </si>
  <si>
    <t>Mailing_Addresses_State</t>
  </si>
  <si>
    <t>Mailing_Addresses_Zip</t>
  </si>
  <si>
    <t>Mailing_Addresses_ZipPlus4</t>
  </si>
  <si>
    <t>Voters_BirthDate</t>
  </si>
  <si>
    <t>Voters_CalculatedRegDate</t>
  </si>
  <si>
    <t>Voters_Age</t>
  </si>
  <si>
    <t>Parties_Description</t>
  </si>
  <si>
    <t>Voters_Gender</t>
  </si>
  <si>
    <t>2011_NEW_Congressional_District</t>
  </si>
  <si>
    <t>2011_NEW_State_Senate_District</t>
  </si>
  <si>
    <t>2011_NEW_State_House_District</t>
  </si>
  <si>
    <t>Precinct</t>
  </si>
  <si>
    <t>General_2014-11-04</t>
  </si>
  <si>
    <t>General_2016-11-08</t>
  </si>
  <si>
    <t>General_2018-11-06</t>
  </si>
  <si>
    <t>General_2020-11-03</t>
  </si>
  <si>
    <t>Presidential_Primary_2008-03-04</t>
  </si>
  <si>
    <t>Presidential_Primary_2012-05-29</t>
  </si>
  <si>
    <t>Presidential_Primary_2016-03-01</t>
  </si>
  <si>
    <t>Presidential_Primary_2020-03-03</t>
  </si>
  <si>
    <t>Primary_2014-03-04</t>
  </si>
  <si>
    <t>Primary_2016-03-01</t>
  </si>
  <si>
    <t>Primary_2018-03-06</t>
  </si>
  <si>
    <t>Primary_2020-03-03</t>
  </si>
  <si>
    <t>HARRIS</t>
  </si>
  <si>
    <t>Lakisha</t>
  </si>
  <si>
    <t>Aalexander</t>
  </si>
  <si>
    <t>12431 King Harry Dr</t>
  </si>
  <si>
    <t>Houston</t>
  </si>
  <si>
    <t>TX</t>
  </si>
  <si>
    <t>Likely Democratic</t>
  </si>
  <si>
    <t>F</t>
  </si>
  <si>
    <t>Y</t>
  </si>
  <si>
    <t>DALLAS</t>
  </si>
  <si>
    <t>Raasia</t>
  </si>
  <si>
    <t>Aaneb</t>
  </si>
  <si>
    <t>(972) 637-3358</t>
  </si>
  <si>
    <t>1118 Reitz Dr</t>
  </si>
  <si>
    <t>Cedar Hill</t>
  </si>
  <si>
    <t>Yahra</t>
  </si>
  <si>
    <t>M</t>
  </si>
  <si>
    <t>Anthony</t>
  </si>
  <si>
    <t>Deshun</t>
  </si>
  <si>
    <t>Aaron</t>
  </si>
  <si>
    <t>(972) 463-2456</t>
  </si>
  <si>
    <t>3206 Blair Oak Dr</t>
  </si>
  <si>
    <t>Rowlett</t>
  </si>
  <si>
    <t>Benjamin</t>
  </si>
  <si>
    <t>Jamal</t>
  </si>
  <si>
    <t>(832) 514-2069</t>
  </si>
  <si>
    <t>(832) 339-1095</t>
  </si>
  <si>
    <t>907 Curry St</t>
  </si>
  <si>
    <t>Baytown</t>
  </si>
  <si>
    <t>Ciara</t>
  </si>
  <si>
    <t>Chante</t>
  </si>
  <si>
    <t>(281) 869-4777</t>
  </si>
  <si>
    <t>(832) 788-7022</t>
  </si>
  <si>
    <t>19010 Siril Dr</t>
  </si>
  <si>
    <t>res_address</t>
  </si>
  <si>
    <t>res_address2</t>
  </si>
  <si>
    <t>res_city</t>
  </si>
  <si>
    <t>res_state</t>
  </si>
  <si>
    <t>res_zip</t>
  </si>
  <si>
    <t>res_zipplus4</t>
  </si>
  <si>
    <t>zipplus4</t>
  </si>
  <si>
    <t>PDI</t>
  </si>
  <si>
    <t>Age</t>
  </si>
  <si>
    <t>Walking_List_Sequence</t>
  </si>
  <si>
    <t>LALVOTERID</t>
  </si>
  <si>
    <t>Voters_StateVoterID</t>
  </si>
  <si>
    <t>Voters_Active</t>
  </si>
  <si>
    <t>Residence_Families_FamilyID</t>
  </si>
  <si>
    <t>Mailing_Families_FamilyID</t>
  </si>
  <si>
    <t>View_Ops_CellPhone_Phone10</t>
  </si>
  <si>
    <t>Voters_FirstName</t>
  </si>
  <si>
    <t>Voters_MiddleName</t>
  </si>
  <si>
    <t>Voters_LastName</t>
  </si>
  <si>
    <t>EthnicGroups_EthnicGroup1Desc</t>
  </si>
  <si>
    <t>LALTX583338500</t>
  </si>
  <si>
    <t>Active</t>
  </si>
  <si>
    <t>R049246716</t>
  </si>
  <si>
    <t>M049246716</t>
  </si>
  <si>
    <t>Likely African-American</t>
  </si>
  <si>
    <t>LALTX574118619</t>
  </si>
  <si>
    <t>R004923972</t>
  </si>
  <si>
    <t>M004923972</t>
  </si>
  <si>
    <t>LALTX3613901</t>
  </si>
  <si>
    <t>LALTX470704521</t>
  </si>
  <si>
    <t>R007766185</t>
  </si>
  <si>
    <t>M007766185</t>
  </si>
  <si>
    <t>L2 Format 2</t>
  </si>
  <si>
    <t>copy county info from summary spreadsheet</t>
  </si>
  <si>
    <t xml:space="preserve">State: </t>
  </si>
  <si>
    <t>addr count</t>
  </si>
  <si>
    <t>unhidden</t>
  </si>
  <si>
    <t>VAN</t>
  </si>
  <si>
    <t>Voter File VANID</t>
  </si>
  <si>
    <t>mAddress</t>
  </si>
  <si>
    <t>mCity</t>
  </si>
  <si>
    <t>mState</t>
  </si>
  <si>
    <t>mZip5</t>
  </si>
  <si>
    <t>mZip4</t>
  </si>
  <si>
    <t>MiddleName</t>
  </si>
  <si>
    <t>Suffix</t>
  </si>
  <si>
    <t>CountyName</t>
  </si>
  <si>
    <t>suffix</t>
  </si>
  <si>
    <t xml:space="preserve">age </t>
  </si>
  <si>
    <t>lastnametemp</t>
  </si>
  <si>
    <t>VAN2</t>
  </si>
  <si>
    <t xml:space="preserve">Voter File VANID </t>
  </si>
  <si>
    <t>Fields to import to create update key (renamed or pre-rename?)</t>
  </si>
  <si>
    <t>updatefilenames</t>
  </si>
  <si>
    <t>&lt;&lt; do all fields used in update key formula need to be here?</t>
  </si>
  <si>
    <t>upDf['address']+'#'+upDf['city']</t>
  </si>
  <si>
    <t>Formula to create MASTER key. Reference dataframe IP.</t>
  </si>
  <si>
    <t xml:space="preserve">IP['address'] + '#' + IP['city'] </t>
  </si>
  <si>
    <t>COMBINE INFO</t>
  </si>
  <si>
    <t>PDI Custom report</t>
  </si>
  <si>
    <t>ZipSkip</t>
  </si>
  <si>
    <t>addrs loaded</t>
  </si>
  <si>
    <t>lablels/script loaded</t>
  </si>
  <si>
    <t>files doled to rooms</t>
  </si>
  <si>
    <t>loaded ??</t>
  </si>
  <si>
    <t>FIRSTNAME</t>
  </si>
  <si>
    <t>VAN Florida</t>
  </si>
  <si>
    <t>PDI VA Report</t>
  </si>
  <si>
    <t>LASTNAME</t>
  </si>
  <si>
    <t>AGE</t>
  </si>
  <si>
    <t>GENDER</t>
  </si>
  <si>
    <t>MAIL_ADDRLINE1</t>
  </si>
  <si>
    <t>MAIL_ADDRLINE2</t>
  </si>
  <si>
    <t>MAIL_CITY</t>
  </si>
  <si>
    <t>MAIL_ZIP</t>
  </si>
  <si>
    <t>MAIL_STATE</t>
  </si>
  <si>
    <t>A</t>
  </si>
  <si>
    <t>Addresses Skipped</t>
  </si>
  <si>
    <t>Use</t>
  </si>
  <si>
    <t>fromFilePath</t>
  </si>
  <si>
    <t>fromFileName</t>
  </si>
  <si>
    <t>toFilePath</t>
  </si>
  <si>
    <t>toFileName</t>
  </si>
  <si>
    <t>Zip5</t>
  </si>
  <si>
    <t>Zip4</t>
  </si>
  <si>
    <t>HD</t>
  </si>
  <si>
    <t>PreferredEmail</t>
  </si>
  <si>
    <t>Pref Phone</t>
  </si>
  <si>
    <t>6077 E Helios Dr</t>
  </si>
  <si>
    <t>Florence</t>
  </si>
  <si>
    <t>AZ</t>
  </si>
  <si>
    <t>U</t>
  </si>
  <si>
    <t>Portee</t>
  </si>
  <si>
    <t>Tiryse</t>
  </si>
  <si>
    <t>Patrick</t>
  </si>
  <si>
    <t>Gabe</t>
  </si>
  <si>
    <t># print("firstname,lastnametemp,lastname,suffix,age  ",df.at[index, 'firstname'],"#",df.at[index, 'lastnametemp'],"#",df.at[index, 'lastname'],"#",df.at[index, 'suffix'],"#",df.at[index, 'age'])</t>
  </si>
  <si>
    <t>np.random.seed(42)</t>
  </si>
  <si>
    <t>def AddressRemove(state, county, city, address):</t>
  </si>
  <si>
    <t>return False</t>
  </si>
  <si>
    <t>df.loc[df['address'].str.startswith("0"), 'remove'] = "Address begins 0"</t>
  </si>
  <si>
    <t>df.loc[df['address'].str.lower() == 'general delivery', 'remove'] = "General Delivery"</t>
  </si>
  <si>
    <t>df.loc[(df['firstname'] == '') | (df['firstname'] == '.'), 'remove'] = "Blank firstname"</t>
  </si>
  <si>
    <t>df.loc[(df['lastname'] == '') | (df['lastname'] == '.'), 'remove'] = "Blank lastname"</t>
  </si>
  <si>
    <t>df.loc[(df['address'] == '') | (df['address'] == '.'), 'remove'] = "Blank Address"</t>
  </si>
  <si>
    <t>df.loc[(df['city'] == '') | (df['city'] == '.'), 'remove'] = "Blank City"</t>
  </si>
  <si>
    <t>df['tempremove'] = df.apply(lambda row: AddressRemove(row['state'], row['county'], row['city'], row['address']), axis='columns' )</t>
  </si>
  <si>
    <t>df.loc[df['tempremove'] != False, 'remove'] = df['tempremove']</t>
  </si>
  <si>
    <t>df.loc[(df['zip'] == '') | (df['zip'] == '.'), 'remove'] = "Blank Zip"</t>
  </si>
  <si>
    <t>df.loc[df['state'] != expectedstate, 'remove'] = "State"</t>
  </si>
  <si>
    <t>"""</t>
  </si>
  <si>
    <t>Uses dictAddrRemove dictionary to identy addresses that should be removed as flagged in master file</t>
  </si>
  <si>
    <t>state = state.lower()</t>
  </si>
  <si>
    <t>county = county.lower()</t>
  </si>
  <si>
    <t>city = city.lower()</t>
  </si>
  <si>
    <t>address = address.lower()</t>
  </si>
  <si>
    <t>else:</t>
  </si>
  <si>
    <t>df.loc[df['age'] =='', 'age'] = "."</t>
  </si>
  <si>
    <t>df.loc[df['lastname'].str.strip() =='', 'lastname'] = "."</t>
  </si>
  <si>
    <t>df.loc[df['firstname'].str.strip() =='', 'firstname'] = "."</t>
  </si>
  <si>
    <t>df.loc[df['sex'].str.strip() =='', 'sex'] = "."</t>
  </si>
  <si>
    <t># create age group to split AL addresses. NOTE field needs to be added to file to keep values</t>
  </si>
  <si>
    <t># remove flagged propoerrties. faster to do this creating a temp variable, tempremove, and using it to set reove than using iterrows</t>
  </si>
  <si>
    <t>df.loc[df['mismatch_county'] == 1, 'remove'] = "County zip mismatch"</t>
  </si>
  <si>
    <t># Straight recode of specified county name</t>
  </si>
  <si>
    <t># obtain county name from filename if not given on file</t>
  </si>
  <si>
    <t>FORMAT INPUT FILES</t>
  </si>
  <si>
    <t>MERGE UPDATE INFORMATION - Rarely used</t>
  </si>
  <si>
    <t>from setup =&gt;</t>
  </si>
  <si>
    <t># recode county with another condition such as zip</t>
  </si>
  <si>
    <t>**** Where does this sort?  Format?  Combined?</t>
  </si>
  <si>
    <t># print(state, county, city, address, sep=', ')</t>
  </si>
  <si>
    <t>brunswick</t>
  </si>
  <si>
    <t>zipdatamaps says 23847 in brunswick</t>
  </si>
  <si>
    <t>int</t>
  </si>
  <si>
    <t># df.loc[ (df['county'].str.strip().str.lower() == 'dekalb') &amp; (df['zip'] == '30032'), 'county'] = "Cobb"  # Note numzip not yet populated so use zip</t>
  </si>
  <si>
    <t>chesterfield</t>
  </si>
  <si>
    <t># This function name is hardcoded</t>
  </si>
  <si>
    <t>Campaign pattern =&gt;</t>
  </si>
  <si>
    <t>Script pattern =&gt;</t>
  </si>
  <si>
    <t>~/Dropbox/Postcard Files/InputFiles/ROVCleaverAddressRemoveList.xlsx</t>
  </si>
  <si>
    <t>- output field names on Format files.  If filled then entry is used as new name; 'X' are removed; entries with no value above it (i.e. past the end of the input fields) are added.  Blank are copied from input row.</t>
  </si>
  <si>
    <t>Column to search for header-identifying string above.</t>
  </si>
  <si>
    <t>Field used to identify the header row containing field names (some files contain title rows). Columns specified below is searched. If not found in first 30 rows an error is flagged. Case insensitive.</t>
  </si>
  <si>
    <t>Field list to import from update.</t>
  </si>
  <si>
    <t>FORMATTED Georgia Super Voters.csv</t>
  </si>
  <si>
    <t>import numpy as np</t>
  </si>
  <si>
    <t>if removedict.get((state, county, city, address),'Other') != 'Other':</t>
  </si>
  <si>
    <t>first_code</t>
  </si>
  <si>
    <t>middle_code</t>
  </si>
  <si>
    <t>last_code</t>
  </si>
  <si>
    <t>def last_code_func(df, removedict, expectedstate):</t>
  </si>
  <si>
    <t>Copy tagged FORMAT files from other directories listed in sheet FormatCopies</t>
  </si>
  <si>
    <t>Setup File for ROVCleaver Program</t>
  </si>
  <si>
    <t xml:space="preserve">return removedict.get((state, county, city, address),'Other')[1]  # [0] is description, [1] is remove; </t>
  </si>
  <si>
    <t>~/Dropbox/Postcard Files/TestInputFiles/TestCampaigns/TEST GA Runoff 11-2022/Formatted</t>
  </si>
  <si>
    <t>from collections import namedtuple</t>
  </si>
  <si>
    <t># this is a named tuple object, like a min-class, so one value can be passed instead of 4,</t>
  </si>
  <si>
    <t># state/county/city/address.</t>
  </si>
  <si>
    <t>Full_Address = namedtuple("FullAddress", ["state", "county", "city", "address"])</t>
  </si>
  <si>
    <t>def concentrated_address(full_address) -&gt; bool:</t>
  </si>
  <si>
    <t>return (full_address.state.lower(), full_address.county.lower(),full_address.city.lower(),</t>
  </si>
  <si>
    <t xml:space="preserve">   full_address.address.lower()) in removedict</t>
  </si>
  <si>
    <t>def address_desc(full_address) -&gt; str:</t>
  </si>
  <si>
    <t>return removedict.get((full_address.state.lower(), full_address.county.lower(),</t>
  </si>
  <si>
    <t xml:space="preserve">   full_address.city.lower(), full_address.address.lower()), 'Other')[0]</t>
  </si>
  <si>
    <t># [0] is description, [1] is remove;</t>
  </si>
  <si>
    <t>def address_remove_desc(full_address) -&gt; str:</t>
  </si>
  <si>
    <t xml:space="preserve">   full_address.city.lower(), full_address.address.lower()), 'Other')[1]</t>
  </si>
  <si>
    <t xml:space="preserve">  # [0] is description, [1] is remove;</t>
  </si>
  <si>
    <t># set a namedtuple field in df comprised of state/county/city/address to be passed as the parameter</t>
  </si>
  <si>
    <t># for remove so other values are not overwritten!!)</t>
  </si>
  <si>
    <t>df.loc[df['full_address'].apply(concentrated_address),'remove'] = df['full_address'].apply(address_remove_desc)</t>
  </si>
  <si>
    <t>df['full_address'] = df.apply(lambda row: Full_Address(row['state'], row['county'], row['city'], row['address']), axis='columns')</t>
  </si>
  <si>
    <t># df.loc[df['full_address'].apply(concentrated_address),'concentrated'] = True</t>
  </si>
  <si>
    <t># df.loc[df['full_address'].apply(concentrated_address),'addr_desc'] = df['full_address'].apply(address_desc)</t>
  </si>
  <si>
    <t># COULD BE SET- create a df field 'concentrated' if state/county/city/address are in dictionary</t>
  </si>
  <si>
    <t># COULD BE SET - create a df field 'addr_desc', description lookup for state/county/city/address only for concentrated</t>
  </si>
  <si>
    <t># set 'remove', description lookup for state/county/city/address only for concentrated (important</t>
  </si>
  <si>
    <t># a two-ple: [0] is the description, [1] is the reason to remove (blank means ok).</t>
  </si>
  <si>
    <t># generally sets the 'remove' field, why an address is kicked out.</t>
  </si>
  <si>
    <t># The dictionary 'removedict' is created using the file 'ROVCleaverAddressRemoveList.xlsx'.  It identifies</t>
  </si>
  <si>
    <t># state/county/city/address are passed; Uses removedict dictionary to return True for concentrated</t>
  </si>
  <si>
    <t xml:space="preserve"># addresses (present in dictionary), False otherwise. </t>
  </si>
  <si>
    <t># state/county/city/address are passed to removedict dictionary, address description is returned #</t>
  </si>
  <si>
    <t xml:space="preserve"># state/county/city/address are passed to removedict dictionary, removal reason is returned </t>
  </si>
  <si>
    <t># stuff county with city because that is where W runs elections</t>
  </si>
  <si>
    <t># df['county'] = df['filename'].map(lambda x: x [5:-10])  # start on first val and lop off last</t>
  </si>
  <si>
    <t># df['statecounty'] = "WI-" + df['res_city']</t>
  </si>
  <si>
    <t># df['county'] = df['res_city']</t>
  </si>
  <si>
    <t>FORMATTED 2022-FL-Putnam.csv</t>
  </si>
  <si>
    <t>os.path.join(ROV.root_path_one_level_up, "Additional State Voices - Racine and Madison/Formatted/")</t>
  </si>
  <si>
    <t># In L2 WI data address2 is already in address.  Consisted ot 'uppr', 'lowr'</t>
  </si>
  <si>
    <t xml:space="preserve">"""  pass ethnic_group and set simple race to use in group """ </t>
  </si>
  <si>
    <t># df['race'] = df['ethnic_group'].map(lambda x: ('Hispanic_Voters' if 'hispanic' in x.lower() else 'Black_Voters') )</t>
  </si>
  <si>
    <t>df.loc[df['county'].str.strip().str.lower() == 'st croix', 'county'] = "SaintCroix"</t>
  </si>
  <si>
    <t>def clean_field(fld, case_convert='lower'):</t>
  </si>
  <si>
    <t>returns a string in lower, strip, no space, no -, no ., no '</t>
  </si>
  <si>
    <t>can be used with dataframe like IP['clean2'] = IP['B'].apply(clean_field, convert_case='keep')</t>
  </si>
  <si>
    <t>return_fld = str(fld).strip().replace(" ", "").replace("'", "").replace(".", "").replace("-", "")</t>
  </si>
  <si>
    <t>if case_convert == 'lower':</t>
  </si>
  <si>
    <t>return_fld = return_fld.lower()</t>
  </si>
  <si>
    <t>elif case_convert == 'upper':</t>
  </si>
  <si>
    <t>elif case_convert == 'keep':</t>
  </si>
  <si>
    <t>return return_fld</t>
  </si>
  <si>
    <t>exit_yes(f"wrong value fed to clean_field parameter case_convert, '{case_convert}' - exiting")</t>
  </si>
  <si>
    <t>pass</t>
  </si>
  <si>
    <t>return_fld = return_fld.upper()</t>
  </si>
  <si>
    <t>County/Campaign Name</t>
  </si>
  <si>
    <t>Pre Assigned</t>
  </si>
  <si>
    <t>PDIID</t>
  </si>
  <si>
    <t># def set_race(val):</t>
  </si>
  <si>
    <t># if 'hispanic' in val.lower():</t>
  </si>
  <si>
    <t># race = "Hispanic"</t>
  </si>
  <si>
    <t># elif 'african' in val.lower():</t>
  </si>
  <si>
    <t># race = "Black"</t>
  </si>
  <si>
    <t># else:</t>
  </si>
  <si>
    <t># race = "** SHOULD BE EXCLUDED **"</t>
  </si>
  <si>
    <t># return race</t>
  </si>
  <si>
    <t># df['lastname'] = df.apply(lambda row: (row['lastname'] if row['suffix'].strip() == '' else row['lastname']  + ' ' + row['suffix']), axis='columns' )  # not tested as oneline vector</t>
  </si>
  <si>
    <t>df['address'] = df.apply(lambda row: (row['addresstemp'] if type(row['address2'])!=str or row['address2'].strip() == '' else row['addresstemp']  + ", " + row['address2']), axis='columns' )</t>
  </si>
  <si>
    <t># df['race'] = df['ethnic_group'].map(lambda x: set_race(x) )</t>
  </si>
  <si>
    <t># df['clean_city'] = df['city'].map(lambda x: clean_field(x, case_convert='keep') )</t>
  </si>
  <si>
    <t># df['group'] = df['clean_city'] + "_" + df['race'] + "_Voters"</t>
  </si>
  <si>
    <t xml:space="preserve"># df['voting_precinct'] = df['precinct'].map(   lambda x: x.title().split(" Ward")[0].replace(" ","")   ) </t>
  </si>
  <si>
    <t xml:space="preserve"># df['v_precinct_p'] = df['precinct'].map(   lambda x: x.title().split(" Ward")[0]   ) </t>
  </si>
  <si>
    <t>pdiid</t>
  </si>
  <si>
    <t># df['randinteger'] = np.random.randint(0, 19, df.shape[0])</t>
  </si>
  <si>
    <t>ChesapeakeCity</t>
  </si>
  <si>
    <t>PortsmouthCity</t>
  </si>
  <si>
    <t>Address file pattern =&gt;</t>
  </si>
  <si>
    <t>VA-[filename]/*.pdf</t>
  </si>
  <si>
    <t>modify from script name</t>
  </si>
  <si>
    <t>Factory name  =&gt;</t>
  </si>
  <si>
    <t>single files loaded - guide</t>
  </si>
  <si>
    <t>single files loaded - sample</t>
  </si>
  <si>
    <t>IDENTIFY DUPES</t>
  </si>
  <si>
    <t>PROCESS DUPLICATES</t>
  </si>
  <si>
    <t>SuffolkCity</t>
  </si>
  <si>
    <t>df['firstname'] +'#'+ df['lastname'] +'#'+ df['age'].astype(str) +'#'+ df['address'].str.replace('[ .,-]', '', regex=True)  +'#'+ df['city'].str.replace(r'[ .,-]', '', regex=True)</t>
  </si>
  <si>
    <t>pull_group</t>
  </si>
  <si>
    <t>**/Campaigns/VA General 7-2023/Output/</t>
  </si>
  <si>
    <t>**/Campaigns/VA General 7-2023 Dedup/Split/</t>
  </si>
  <si>
    <t>VA-[filename]- General Election 7-2023[filecounter].csv</t>
  </si>
  <si>
    <t>VA-[campaign_name] General BIPOC 7-2023 ** mail SEPTEMBER 8 to OCTOBER 25**</t>
  </si>
  <si>
    <t>VA General BIPOC 7-2023</t>
  </si>
  <si>
    <t>Brunswick</t>
  </si>
  <si>
    <t>Caroline</t>
  </si>
  <si>
    <t>Chesterfield</t>
  </si>
  <si>
    <t>Dinwiddie</t>
  </si>
  <si>
    <t>EmporiaCity</t>
  </si>
  <si>
    <t>Essex</t>
  </si>
  <si>
    <t>FranklinCity</t>
  </si>
  <si>
    <t>FredericksburgCity</t>
  </si>
  <si>
    <t>Greensville</t>
  </si>
  <si>
    <t>HamptonCity</t>
  </si>
  <si>
    <t>Henrico</t>
  </si>
  <si>
    <t>IsleOfWight</t>
  </si>
  <si>
    <t>JamesCity</t>
  </si>
  <si>
    <t>KingAndQueen</t>
  </si>
  <si>
    <t>KingGeorge</t>
  </si>
  <si>
    <t>KingWilliam</t>
  </si>
  <si>
    <t>Lancaster</t>
  </si>
  <si>
    <t>Loudoun</t>
  </si>
  <si>
    <t>ManassasCity</t>
  </si>
  <si>
    <t>ManassasParkCity</t>
  </si>
  <si>
    <t>Middlesex</t>
  </si>
  <si>
    <t>NewportNewsCity</t>
  </si>
  <si>
    <t>Northumberland</t>
  </si>
  <si>
    <t>PoquosonCity</t>
  </si>
  <si>
    <t>PrinceWilliam</t>
  </si>
  <si>
    <t>Richmond</t>
  </si>
  <si>
    <t>Southampton</t>
  </si>
  <si>
    <t>Spotsylvania</t>
  </si>
  <si>
    <t>Stafford</t>
  </si>
  <si>
    <t>VirginiaBeachCity</t>
  </si>
  <si>
    <t>Westmoreland</t>
  </si>
  <si>
    <t>WilliamsburgCity</t>
  </si>
  <si>
    <t>York</t>
  </si>
  <si>
    <t>Create Parent Campigns in SIncere (hidden)</t>
  </si>
  <si>
    <t>Campaign file matching pattern (finds script and label pdfs)</t>
  </si>
  <si>
    <t>/Users/Denise/Library/CloudStorage/Dropbox/Postcard Files/Attachments/Campaigns/VA General 7-2023/Output/VA-York</t>
  </si>
  <si>
    <t>position of search for string on line above</t>
  </si>
  <si>
    <t>replace 1 to position above</t>
  </si>
  <si>
    <t>county from c12 parsed by last '-'</t>
  </si>
  <si>
    <t>campaigns</t>
  </si>
  <si>
    <t>Concoct Sincere Name Pattern Matching Strings</t>
  </si>
  <si>
    <t>In what directory under Attachments are files found (usually 'Campaigns'). Not case sensitive</t>
  </si>
  <si>
    <t>Address spreadsheet matching pattern (finds address files)</t>
  </si>
  <si>
    <t>/Users/Denise/Library/CloudStorage/Dropbox/Postcard Files/InputFiles/Campaigns/VA General 7-2023 Dedup/Split/VA-York- General Election 7-2023.csv</t>
  </si>
  <si>
    <t>In what directory under InputFiles are files found (usually 'Campaigns'). Not case sensitive</t>
  </si>
  <si>
    <t>replace entered county</t>
  </si>
  <si>
    <t xml:space="preserve">RESULT (copy and paste into 'File Matching' in Sincere) &gt;&gt;  </t>
  </si>
  <si>
    <t xml:space="preserve">RESULT (copy and paste into 'Address matching' in Sincere) &gt;&gt;  </t>
  </si>
  <si>
    <t>County name in the pasted path (after 'state-'). 
CASE SENSITIVE</t>
  </si>
  <si>
    <t>**/Campaigns/VA General 7-2023 Dedup/Split/VA-York- General Election 7-2023[filecounter].csv</t>
  </si>
  <si>
    <t>**/Campaigns/VA General 7-2023/Output/VA-[filename]/*.pdf</t>
  </si>
  <si>
    <t>Paste your path here &gt;&gt;</t>
  </si>
  <si>
    <t xml:space="preserve">Result should look like this: </t>
  </si>
  <si>
    <t>Paste here [with the file-] &gt;&gt;</t>
  </si>
  <si>
    <t>Example of ATTACHMENTS path where pdfs are found:</t>
  </si>
  <si>
    <t>Example of path and one csv of an ADDRESS file:</t>
  </si>
  <si>
    <t>/Users/Denise/Library/CloudStorage/Dropbox/Postcard Files/Attachments/Campaigns/GA Runoff GOTV 11-2022/Output/GA-Worth</t>
  </si>
  <si>
    <t>/Users/Denise/Library/CloudStorage/Dropbox/Postcard Files/InputFiles/Campaigns/FL Primary GOTV 5-2022/Original/Split/FL-Calhoun Primary GOTV 5-2022.csv</t>
  </si>
  <si>
    <t>Calhoun</t>
  </si>
  <si>
    <t>ColonialHeightsCity</t>
  </si>
  <si>
    <t>Fairfax</t>
  </si>
  <si>
    <t>NewKent</t>
  </si>
  <si>
    <t>Sussex</t>
  </si>
  <si>
    <t># concentrated properties (more than 60) using a key comprised of state/county/city/address and returns</t>
  </si>
  <si>
    <t>dummyCol</t>
  </si>
  <si>
    <t>sort_vals</t>
  </si>
  <si>
    <t>field_vals</t>
  </si>
  <si>
    <t>sort_vals_alt</t>
  </si>
  <si>
    <t>False,("campaign_note","str",{'str_case':'k'})</t>
  </si>
  <si>
    <t>False,("expectedstate","str",{'str_case':'u'})</t>
  </si>
  <si>
    <t>field_keep</t>
  </si>
  <si>
    <t>True,("xl_inputfile_orig_list","str")</t>
  </si>
  <si>
    <t>True,("xl_inputfile_renamed_list","str")</t>
  </si>
  <si>
    <t>True,("xl_inputfile_type_list","str")</t>
  </si>
  <si>
    <t>False,("rows_to_read_limit", "int")</t>
  </si>
  <si>
    <t>False,("concentrated_addresses_file", "file")</t>
  </si>
  <si>
    <t>True,("splitfile_field_list","str")</t>
  </si>
  <si>
    <t>xl_run_first_code_flag</t>
  </si>
  <si>
    <t>False,("run_first_code_flag", "bool")</t>
  </si>
  <si>
    <t>False,("run_middle_code_flag", "bool")</t>
  </si>
  <si>
    <t>xl_run_middle_code_flag</t>
  </si>
  <si>
    <t>xl_run_last_code_flag</t>
  </si>
  <si>
    <t>False,("run_last_code_flag", "bool")</t>
  </si>
  <si>
    <t>xl_first_code_sheet</t>
  </si>
  <si>
    <t>False,("dupe_key_sort_tuples", "pythobj")</t>
  </si>
  <si>
    <t>[["pull_group",true],[ "dupe_key",true]]</t>
  </si>
  <si>
    <t>field_documentation</t>
  </si>
  <si>
    <t>xl_concentrated_address_browser_prompt_freq</t>
  </si>
  <si>
    <t>xl_sortchoice</t>
  </si>
  <si>
    <t>xl_id_dupes</t>
  </si>
  <si>
    <t>xl_OPFile</t>
  </si>
  <si>
    <t>xl_splitfnbase</t>
  </si>
  <si>
    <t>xl_sub_split_limit</t>
  </si>
  <si>
    <t>xl_combinefile_fields_to_delete_list</t>
  </si>
  <si>
    <t>xl_copy_other_format_files_flag</t>
  </si>
  <si>
    <t>xl_check_header_string</t>
  </si>
  <si>
    <t>xl_strcheck_header_col</t>
  </si>
  <si>
    <t>xl_run_county_check_code_flag</t>
  </si>
  <si>
    <t>xl_skip_selected_zip_match_flag</t>
  </si>
  <si>
    <t>xl_skip_selected_zip_sheet</t>
  </si>
  <si>
    <t>xl_middle_code_sheet</t>
  </si>
  <si>
    <t>xl_last_code_sheet</t>
  </si>
  <si>
    <t>xl_add_filename_column_flag</t>
  </si>
  <si>
    <t>xl_add_random_number_column_flag</t>
  </si>
  <si>
    <t>xl_run_merge_data_flag</t>
  </si>
  <si>
    <t>xl_orig_file_key_formula</t>
  </si>
  <si>
    <t>xl_update_file_key_formula</t>
  </si>
  <si>
    <t>xl_update_field_list</t>
  </si>
  <si>
    <t>False,("concentrated_address_browser_prompt_freq", "int")</t>
  </si>
  <si>
    <t>False,("id_dupes", "bool")</t>
  </si>
  <si>
    <t>False,("OPFile","file")</t>
  </si>
  <si>
    <t>False,("splitfnbase","file")</t>
  </si>
  <si>
    <t>False,("copy_other_format_files_flag", "bool")</t>
  </si>
  <si>
    <t>False,("check_header_string","str")</t>
  </si>
  <si>
    <t>False,("strcheck_header_col","str")</t>
  </si>
  <si>
    <t>False,("run_county_check_code_flag", "bool")</t>
  </si>
  <si>
    <t>False,("skip_selected_zip_match_flag", "bool")</t>
  </si>
  <si>
    <t>False,("add_filename_column_flag", "bool")</t>
  </si>
  <si>
    <t>False,("add_random_number_column_flag", "bool")</t>
  </si>
  <si>
    <t>False,("run_merge_data_flag", "bool")</t>
  </si>
  <si>
    <t>False,("sortchoice", "int")</t>
  </si>
  <si>
    <t>False,("sub_split_limit","int")</t>
  </si>
  <si>
    <t>True,("combinefile_fields_to_delete_list","str")</t>
  </si>
  <si>
    <t>True,("update_field_list", "str")</t>
  </si>
  <si>
    <t>False,("xl_skip_selected_zip_sheet", "str",{'str_case':'k'})</t>
  </si>
  <si>
    <t>False,("xl_first_code_sheet", "str",{'str_case':'k'})</t>
  </si>
  <si>
    <t>False,("xl_middle_code_sheet", "str",{'str_case':'k'})</t>
  </si>
  <si>
    <t>False,("xl_last_code_sheet", "str",{'str_case':'k'})</t>
  </si>
  <si>
    <t>False,("xl_str_pivot_field1","str"), ("xl_str_pivot_field1_by_cnt","bool"), ("xl_str_pivot_field1_all","bool")</t>
  </si>
  <si>
    <t>False,("xl_str_pivot_field2","str"), ("xl_str_pivot_field2_by_cnt","bool"), ("xl_str_pivot_field2_all","bool")</t>
  </si>
  <si>
    <t>False,("xl_str_pivot_field3","str"), ("xl_str_pivot_field3_by_cnt","bool"), ("xl_str_pivot_field3_all","bool")</t>
  </si>
  <si>
    <t>False,("xl_str_pivot_field4","str"), ("xl_str_pivot_field4_by_cnt","bool"), ("xl_str_pivot_field4_all","bool")</t>
  </si>
  <si>
    <t>False,("xl_str_pivot_field5","str"), ("xl_str_pivot_field5_by_cnt","bool"), ("xl_str_pivot_field5_all","bool")</t>
  </si>
  <si>
    <t>USEFUL IN NEW STATES/COUNTIES: whether to open a browser window for each concentrated address in report so you can research and enter a description and decide whether to remove. Most useful in new states/counties because prior should already be contained in cumulative "ROVCLEAVERAddressRemoveFile".  Often run on Combined file once Format files are created.  "Yes" allows ROVCleaver program to run with no intervention and open browser windows.  "Prompt by County" allows skipping counties that have been completed.  Set in conjunction with FileList FormatFile and ConcatFiles column choices.  Note: This may open a lot of browser windows first time through so you may want to check the concentrations and work on one or two counties at a time.</t>
  </si>
  <si>
    <t>DECISION: I usually sort addresses by county and random number because it stops writers from getting a ton of oddball addresses should they be present.  An example is some zips which are all PO boxes; we don't want the writer to get all that zip and think we are only mailing to PO boxes, valid but odd addresses. Some writers have asked we sort by zip so they "get in a groove" when writing, not having to switch zip or even town.  As stated, I choose County/random to try and keep unnecessary writer questions to a minimum.</t>
  </si>
  <si>
    <t>- input field names.  Copy directly from an input file.  Common input field lists and their rename are contained in the "std Field Lists" sheet, but they may change over time and not match exactly so copy at your own risk!</t>
  </si>
  <si>
    <t xml:space="preserve">Whether we reset the "zipMismatch" field for given state/zips.  This is primarily zips split between counties, and different sources specify different county splits.  :(  Since we can practically only buy and check one zip source, if it looks to be flagging a zip county as a mismatch but other sources indicate no problem, this allows ignoring the mismatch.  The county/zip combination to ignore are specified in the sheet below.
Example: zip 23847.  PDI said it was Brunswick county. Our vendor did not list Brunswick as valid (https://www.zip-codes.com/zip-code/23847/zip-code-23847.asp) having EMPORIA CITY, GREENSVILLE, SOUTHAMPTON, and SUSSEX.  An alternate vendor listed only two counties for 23847, GREENSVILLE AND BRUNSWICK, https://www.zipdatamaps.com/23847.  Who is right?  How much can we investigate?  If PDI and another vendor say Brunswick, maybe our vendor missed on this one. </t>
  </si>
  <si>
    <t>First column specifies list of variables used in two reports in the Summary sheet.  Separate variables by commas, report nests frequencies so "state,county,sex" will break by state, then county within state, then sex within county.  Blank will skip report.  Second column is whether to create a second report sorted by count (first is alphabeticl).  Third column is whther to report on all addresses, or just the clean/non-removed.</t>
  </si>
  <si>
    <t>False,("dupe_key_formula","str",{'str_case':'k'})</t>
  </si>
  <si>
    <t>False,("orig_file_key_formula", "str",{'str_case':'k'})</t>
  </si>
  <si>
    <t>False,("update_file_key_formula", "str",{'str_case':'k'})</t>
  </si>
  <si>
    <t>Python code to create key field in our file. must keep case so True (required by python) does not become true.</t>
  </si>
  <si>
    <t>Python code to create key field in the update file. must keep case so True (required by python) does not become true.</t>
  </si>
  <si>
    <t># CODE THIS LAST - replaces all 'remove'  if not in group 6 so other remove reasons are overwritten</t>
  </si>
  <si>
    <t>lists [] of couples; first is variable, second is true (lower t) =ascending</t>
  </si>
  <si>
    <t>custom_field</t>
  </si>
  <si>
    <t># Use custom_field from filelist to set a variable</t>
  </si>
  <si>
    <t># Use 'pull_group' in filelist to identify CAROL group - Note that fields need to be added to 'Format File' list to be included on file</t>
  </si>
  <si>
    <t xml:space="preserve">Row 1 - Bold, no shading;  Column A - remove shading </t>
  </si>
  <si>
    <t>Columns A, G, H - edited notes</t>
  </si>
  <si>
    <t>Columns C, D, E - notes unclesr; consider shifting columns further right</t>
  </si>
  <si>
    <t>Columns B --&gt; G: Centered all data</t>
  </si>
  <si>
    <t>Changed data</t>
  </si>
  <si>
    <r>
      <t xml:space="preserve">def </t>
    </r>
    <r>
      <rPr>
        <sz val="11"/>
        <color rgb="FF000000"/>
        <rFont val="Calibri"/>
        <family val="2"/>
        <scheme val="minor"/>
      </rPr>
      <t>middle_code_func</t>
    </r>
    <r>
      <rPr>
        <sz val="11"/>
        <color rgb="FF080808"/>
        <rFont val="Calibri"/>
        <family val="2"/>
        <scheme val="minor"/>
      </rPr>
      <t>(df):</t>
    </r>
  </si>
  <si>
    <r>
      <t>def first_code_func</t>
    </r>
    <r>
      <rPr>
        <sz val="11"/>
        <color rgb="FF080808"/>
        <rFont val="Calibri"/>
        <family val="2"/>
        <scheme val="minor"/>
      </rPr>
      <t>(df):</t>
    </r>
  </si>
  <si>
    <t>1/28/23 added optional paramter convert_case defaulting to lower, as was done before, but allowing 'upper' or 'keep'.</t>
  </si>
  <si>
    <t>KEY DATA FIELDS</t>
  </si>
  <si>
    <t>CAMPAIGN DESCRIPTION</t>
  </si>
  <si>
    <t>Information only.  Keep it brief!</t>
  </si>
  <si>
    <t>EXPECTED STATE (addresses flagged if other)</t>
  </si>
  <si>
    <t>2-letter state abbreviation</t>
  </si>
  <si>
    <t>FILENAME OF CONCATENATED DATA (combined file)</t>
  </si>
  <si>
    <t>Don't need file extension (added by program). Best to include STATE in name</t>
  </si>
  <si>
    <t>ROOT NAME OF SPLIT FILES</t>
  </si>
  <si>
    <t>Don't need STATE because it's auto added if files are split by county</t>
  </si>
  <si>
    <t>NUMBER OF ROWS TO READ</t>
  </si>
  <si>
    <t>1,001 for testing; 999,999 otherwise</t>
  </si>
  <si>
    <t>TRUE / FALSE</t>
  </si>
  <si>
    <t>OTHER DATA FIELDS - rarely need to be changed</t>
  </si>
  <si>
    <t>A. FIELD PROCESSING</t>
  </si>
  <si>
    <t>INPUT and FORMAT Field List</t>
  </si>
  <si>
    <t>First line is INPUT (RawData), second is FORMATTED</t>
  </si>
  <si>
    <t>COMBINE DELETE FIELDS</t>
  </si>
  <si>
    <t>Fields to be removed from Combined file; must be in Input Field List above</t>
  </si>
  <si>
    <t>SPLIT OUTPUT FIELDS</t>
  </si>
  <si>
    <t>Sincere requires: FirstName, LastName, Address, City, State, Zip, County, Age, Sex) Sometimes add PDIID and PULL_GROUP</t>
  </si>
  <si>
    <t>STRING TO IDENTIFY HEADER</t>
  </si>
  <si>
    <t>Must be in Input Field List above</t>
  </si>
  <si>
    <t>COLUMN TO SEARCH FOR HEADER IDENTIFIER STRING</t>
  </si>
  <si>
    <t>B. EXTRA REPORTS</t>
  </si>
  <si>
    <t>Edit/add if there are data fields that need to be investigated</t>
  </si>
  <si>
    <t>List of fields to report on, separated by commas</t>
  </si>
  <si>
    <t>2nd report sorted by count?</t>
  </si>
  <si>
    <t>True = all records, False = clean only</t>
  </si>
  <si>
    <t>CONCENTRATED ADDRESS SHEET</t>
  </si>
  <si>
    <t>C. RECORD REMOVAL</t>
  </si>
  <si>
    <t>OPEN BROWSER for address concentrations</t>
  </si>
  <si>
    <t>3 = NO; 1=yes; 2=prompt by county</t>
  </si>
  <si>
    <t>How does this feed into program?</t>
  </si>
  <si>
    <t>CHECK COUNTY INFO FLAG</t>
  </si>
  <si>
    <t>TRUE / FALSE.  Almost always TRUE.  Checks whether zips align with counties</t>
  </si>
  <si>
    <t xml:space="preserve">USE ZIP SKIP </t>
  </si>
  <si>
    <t>Documentation says s/b False</t>
  </si>
  <si>
    <t>TRUE / FALSE.  [True] allows known County/zip mismatch combos to stay</t>
  </si>
  <si>
    <t>ZIPS TO IGNORE</t>
  </si>
  <si>
    <t>Name of sheet containing county/zip combos to skip when reviewing mismatches</t>
  </si>
  <si>
    <t>D. OUTPUT</t>
  </si>
  <si>
    <t>INCLUDE SOURCE FILENAME</t>
  </si>
  <si>
    <t>TRUE / FALSE.  Almost always TRUE</t>
  </si>
  <si>
    <t>INCLUDE RANDOM NUMBER</t>
  </si>
  <si>
    <t>TRUE / FALSE.  Useful for sorting</t>
  </si>
  <si>
    <t>Could description in title be in column F?</t>
  </si>
  <si>
    <t>3 is PRODUCTION, 1 is testing</t>
  </si>
  <si>
    <t>&lt;-- Delete?  Shouldn’t have questions!</t>
  </si>
  <si>
    <t>SPLIT FILE RECORD LIMIT</t>
  </si>
  <si>
    <t>Limit in Sincere</t>
  </si>
  <si>
    <t>Run FIRST_CODE: 1st of 3 user written code</t>
  </si>
  <si>
    <t>FIRST_CODE SHEET NAME</t>
  </si>
  <si>
    <t>Run before standard County assignments</t>
  </si>
  <si>
    <t>Name of sheet containing python code</t>
  </si>
  <si>
    <t>Run MIDDLE_CODE: 2nd of 3 user written code</t>
  </si>
  <si>
    <t>TRUE / FALSE.  Usually TRUE</t>
  </si>
  <si>
    <t>MIDDLE_CODE SHEET NAME</t>
  </si>
  <si>
    <t>Run LAST_CODE: 3rd of 3 user written code</t>
  </si>
  <si>
    <t>LAST_CODE sheet name</t>
  </si>
  <si>
    <t>USER_CODE</t>
  </si>
  <si>
    <t>Documentation says usually FALSE</t>
  </si>
  <si>
    <t>&lt;-- What is 'keep list'?</t>
  </si>
  <si>
    <t>&lt;&lt;&lt; ????</t>
  </si>
  <si>
    <t>Track specifics such as the voter universe (eg "Black non-registered voters" or "Non-white who voted in 2020 primary and general")</t>
  </si>
  <si>
    <t>Used as prefix in "state-county" variable, for zip/county matching and to flag out of state voters</t>
  </si>
  <si>
    <t>Should include STATE because there is only one file, and ROVCleaver does not insert STATE as it does when splitting</t>
  </si>
  <si>
    <t>Automatically prefixed with the state-county, and post-fixed with file counter if addresses are split up because of Sincere maximum count per file</t>
  </si>
  <si>
    <t xml:space="preserve">Allows testing on a small number of records to make sure setup and logic is working.  Value also applies to COMBINED operation, so a low value likely prevents checking of combined data.  Probably use 1001 to check FORMAT files, then up to 999,999 and COMBINE.  Note: Header counts as 1 row so only 1000 addresses are read from each input file when value set set to 1001.  </t>
  </si>
  <si>
    <t>- non-blank identifies column to be read as INTEGER rather than string.  (other choices could be added)</t>
  </si>
  <si>
    <r>
      <t xml:space="preserve">Identifies fields and column headers in RawData (input) files, and how they are processed (see more description below).  </t>
    </r>
    <r>
      <rPr>
        <b/>
        <sz val="11"/>
        <color theme="1"/>
        <rFont val="Calibri"/>
        <family val="2"/>
        <scheme val="minor"/>
      </rPr>
      <t xml:space="preserve">Start by directly pasting header row from a RawData file to first row here. </t>
    </r>
  </si>
  <si>
    <t>Whether formatted files need to be copied from another directory, usually because RawData files were supplied in different formats, eg, PDI vs VAN.  If TRUE the sheet "FormatCopies" is used to identify files and their location.  Columns of files being copied in must match the Format Field List in this Setup file.  
The columns in the "FormatCopies" sheet are Use, fromFilePath, fromFileName, toFilePath, toFileName. 
"Use" allows many files to be listed in the sheet but only some to be included. 
"FromFilePath" is used to specify the directory where file resides.  Best is to use indirect location rather than hardcoding so if setup file location is copied or moved, program will error rather than finding files in original location.  using "os.path.join(rootPathOneUp, "Etowah added/Formatted")" specifies moving up a level from this setup (as specified with the derived variable rootPAthOneUp) then to the directory specified in the second parameter.
"FromFileName" is the name of the file with extension (usually csv).
"toFilePath" and 'toFileName" are not often used.  If blank, name is kept the same as input and directory is that corresponding to the current setup file.  Specifying is dangerous because they can put files into unexpected ocations if setup is copied.</t>
  </si>
  <si>
    <t>TRUE / FALSE.  FALSE unless merging data from another format.  TRUE requires changes to FormatCopies sheet</t>
  </si>
  <si>
    <t>Master list of addresses to be removed</t>
  </si>
  <si>
    <t>Location to store descriptions of concentrated addresses, generally over 50, and a reason if they are to be excluded (usually the description is enough).  Sheet columns are: state, county, city, address, remove, count, desc. METHOD: the file is used to create a dictionary with a key using a tuple comprised of (state, county, city, address); returns a tuple of two values.  The first is the "remove reason" specified in the file column "remove". Blank indicates address should not be removed.  The second is the description specified in the "desc" file column.  It is used in the report on address concentration.  If an address is concentrated and shows on the report, but does not appear in the remove file (this having no description), the description will be coded as 'missing'.
The dict is called/used as follows: addrList = dictAddrRemove.get(tuple([st, cnt, cty, add]), ['missing', 'missing']).  "dictAddrRemove" is the dict created from the file.  "tuple([st, cnt, cty, add])" creates a tuple from the fields in our record.  The "get" and "['missing', 'missing']" returns a list of two string "missing" if the key/tuple is not in the dictionary rather than an errors (needed because most addresses will not be in the dictionary).
Note that column order of file matches column order of Summary Report so you should copy and paste concentrated address list directly from the report and then add description and remove.  This ensures address will exactly match what is found in your file.
File can be sorted to any order, usually by state/county/address once new entries pasted to bottom are "finalized".</t>
  </si>
  <si>
    <t>Move some of field-documentation to AddressRemoveList file?</t>
  </si>
  <si>
    <t>Creates concatenated string used to identify dupes.  Python requires True vs. true.  To convert data to a string, use: IP['number'].astype(str)</t>
  </si>
  <si>
    <t>DUPLICATE KEY FORMULA</t>
  </si>
  <si>
    <t>Field, combination of fields, or function on fields used to identify dupes</t>
  </si>
  <si>
    <t>SORT ORDER FOR DUPES</t>
  </si>
  <si>
    <t>Pairs of fields,sort_by_ascending separated by commas like ('county',True),( 'dupe_key',False)</t>
  </si>
  <si>
    <t>Sheet containing county/zip combinations to ignore when checking for matches.  Must have at least one row or causes problem (hence 'test').  Generally best to be conservative and exclude mismatches, but a few examples were vexing. ZipSkip is the only sheet I've set up.</t>
  </si>
  <si>
    <t>Whether or not to include RawData filename in output files.  Generally useful and set to true, though it may take a bit of space.</t>
  </si>
  <si>
    <t>Whether or not to include a 'randnum' field in the output files.  Useful for randomizing address allocations</t>
  </si>
  <si>
    <t>Formula to create MASTER key in Update File. Reference dataframe upDF.  Fields must be on keep list below.</t>
  </si>
  <si>
    <t>List of fields to remove in combined file (if you want to keep things tidy!)  Fields missing from Format Field List are noted but ignored.</t>
  </si>
  <si>
    <t>Rarely changed as they tend to be fields imported into Sincere.</t>
  </si>
  <si>
    <t>If TRUE, 'RunCountyCheck' does a bunch of county processing.  Needs state, zip, county.  Renames specified county to origcounty; adds countymismatch field; uses zip to check state/county combination to purchased zip file (see documentation); and identifies any counties that are not found.  This often means that county names need to be changed to match zip file.  For example, PDI data may contain "St Johns" in field 'StateCounty' while zip file may be "Saint Johns" in Florida; "FL-StJohns" would not be found and would show up in a popup error window.  Check county in the ZipCode file ("C:/..../Dropbox/Postcard Files/InputFiles/ROVCleaver_on_Dropbox/Unique_County_List.xlsx") and add code to map the old/new in FIRST_CODE processing.</t>
  </si>
  <si>
    <t>I dont understand column H comment (too technical!)</t>
  </si>
  <si>
    <t>Sincere/VoterLetters maximum count per file (sub_split_limit). Files containing more recoards than limit are split into smaller files postfixed with 'file-1' etc.  Constrained by memory on the Sincere server.  Currently at 25K; may change as Aaron works on efficiencies or upgrades memory.</t>
  </si>
  <si>
    <t>*** Do not delete/move columns through Column T **</t>
  </si>
  <si>
    <t>*** to match fields, copy header record in RawData file to first line below ***</t>
  </si>
  <si>
    <t>Flag to run FIRST_CODE, which runs before any other county/zip processing/checking.  Allows 'County' field to be set based on a program rather than a field in the file.  For example, we may need to obtain the county from the filename because PDI has bad county data in its files (!!!), which happens fairly often.</t>
  </si>
  <si>
    <t>Allows 'county' field be set by program</t>
  </si>
  <si>
    <t>Sheet containing FIRST_CODE code.  Could be done in a loop,  but set up to use Python's vector processing which is much faster.  See FIRST_CODE sheet / Documentation file for more detail.
Most often, if needed, first_code extracts the county name from the filename using code something like this: df['county'] = df['filename'].map(lambda x: x [5:-10]) which replaces the field 'county' with a python slice of the filename field, starting at 6 (the count begins with 0) and ignoring the last 10 characters.
We can also use code like the following to recode counties to match what is in our zip file: df.loc[df['county'].str.strip().str.lower() ==  "colonial heights", 'county']  = "colonial heights city"</t>
  </si>
  <si>
    <t>Flag to run MIDDLE_CODE, which reformats data after county is set.  Almost always TRUE.  Runs after columns renamed, so need to use Format field names (eg, 'zip' vs 'mail_zip').  Examples include: adding 'suffix' to last name (Sincere does not have a suffix field); combining address and apartment number Isame reason); adding random number field; setting a group to hold back certain addresses; creating a group based on fields such as age, county or district.  Empty fields can be filled with an expected value like "NA" or '.'.</t>
  </si>
  <si>
    <t>Where most data re-formating occurs</t>
  </si>
  <si>
    <t>Move para 2 from field-documentation to MIDDLE_CODE sheet?</t>
  </si>
  <si>
    <t>Removes addresses from final files</t>
  </si>
  <si>
    <t>Flag to run LAST_CODE, which removes addresses from final files.  Almost always TRUE.  Adds 'remove' column, runs code from sheet,  then removes records with non-blank 'REMOVE' field.  Runs after columns renamed, so need to use Format field names (eg, 'zip' vs 'mail_zip').  Examples include:  zip mismatches, address concentration / facility type, undeliverable, building lot not a residence (address starts with '0'), etc.  Also good for setting alternative groups after other processing complete.</t>
  </si>
  <si>
    <t>Sheet containing LAST_CODE code.  Uses Python's vector processing.  See Documentation file for a brief explanation.
Note that since the 'remove' field can be set multiple times in the vector version, each time a check is run, and overwritten, the highest priority reasons should be the last (so they will not be overwritten) and less svere at the top.  This is opposite the non-vector version where the code is set in a big if/then/else.</t>
  </si>
  <si>
    <t>Move para 2 from field-documentation to LAST_CODE sheet?</t>
  </si>
  <si>
    <t xml:space="preserve">Sheet containing MIDDLE_CODE code.  Uses Python's vector processing.
"generic" has code in it to process our primary vendors, PDI and VAN.  [Code not applicable is commented out by starting line with a "#", but kept so it can be easily used another time.  The ability to specify the sheet used for code allows customized code to be saved in a sheet and used when necessary.]
</t>
  </si>
  <si>
    <t>Run 'runUpdateMaster'</t>
  </si>
  <si>
    <t>TRUE / FALSE.   Rarely used and needs testing.   All fields from update file in master postfixed with '_updt'</t>
  </si>
  <si>
    <t>Code only used once and NEEDS TESTING.  Merging files can get ugly, especially if keys are not unique, and records can be multiplied. 'UpdateMaster' checks for these things but needs more testing.  If data needs to merged into our files (voting data, new field info), this code attempts to do that within the process (i.e. the merge is done via pushbutton program and all the parameters are saved).  Files to be merged are specified in the filelist.  The python expression specified creates a key in the update file; same for our file.  Then a list of the fields can be merged in.</t>
  </si>
  <si>
    <t>Move paras 2&amp;3 from field-documentation to MIDDLE_CODE sheet?</t>
  </si>
  <si>
    <t>** Hide/delete unused sheets</t>
  </si>
  <si>
    <t xml:space="preserve">**Reorder tabs.  Move up 'Load VL </t>
  </si>
  <si>
    <t>Checklist' and 'Sincere Patterns'</t>
  </si>
  <si>
    <t>Move to Key Data section?</t>
  </si>
  <si>
    <t>UNUSED ROWS BELOW</t>
  </si>
  <si>
    <t># Set all text to 11pt, zoom at 125%</t>
  </si>
  <si>
    <t># This is the only operating line?!</t>
  </si>
  <si>
    <t># Can extra lines be deleted?</t>
  </si>
  <si>
    <t># Should references to Carol be made more generic?</t>
  </si>
  <si>
    <t># Corrected typo 'defaulting'</t>
  </si>
  <si>
    <t># Remove highlighting on Row 50?</t>
  </si>
  <si>
    <t># Row 68:  Group 6 in comment, 3 in Code</t>
  </si>
  <si>
    <t># Does no of groups need to be set somewhere?</t>
  </si>
  <si>
    <t xml:space="preserve">  #  Use lagest number in pull_group on FileList?</t>
  </si>
  <si>
    <t>CAMPAIGN SPLIT VARIABLE(S)</t>
  </si>
  <si>
    <t>FACTORY SPLIT VARIABLE(S)</t>
  </si>
  <si>
    <t>Along with Factory fields, used to split concatenated file.  Most often County but can be other (eg, District) or a custom group created in modicode code (eg, age group such as "Over 50")</t>
  </si>
  <si>
    <t>Used to split at factory level if multiple factories are being loaded with addresses from one combined file.  Most often blank but can be other (eg, District) or a custom group created in modicode code (eg, age group such as "Over 50")</t>
  </si>
  <si>
    <t>False,("xl_factory_vars","str",{'str_case':'l'})</t>
  </si>
  <si>
    <t># make up fields for testing</t>
  </si>
  <si>
    <t>Almost always statecounty (used to separate files for Sincere along with factory_vars)</t>
  </si>
  <si>
    <t>False,("xl_campaign_vars","str",{'str_case':'l'})</t>
  </si>
  <si>
    <t>Race,  Age_groupx</t>
  </si>
  <si>
    <t>SORT OUTPUT:  group_vars +: 1 (testing) = zip, ADDRESS random WARNING;  2 = (testing) = zip, random WARNING; 3=RANDOM;  4/other  =  not sorted</t>
  </si>
  <si>
    <t>remove using max_pull_group</t>
  </si>
  <si>
    <t>max_pull_group</t>
  </si>
  <si>
    <t>&lt; must be true or false</t>
  </si>
  <si>
    <t># df.loc[(df['remove'] == '') &amp; (df['pull_group'] != 3), 'remove'] = "Clean but pull group not 3"</t>
  </si>
  <si>
    <t>## NOW SET BY FLAG AND MAX_PULL_GROUP in filelist sheet</t>
  </si>
  <si>
    <t># df.loc[df['filename'] == '2023 HD58 - BIPOC.csv', 'race'] = "Asian"</t>
  </si>
  <si>
    <t>2024 GA Primary CD13 - BIPOC ver 2.csv</t>
  </si>
  <si>
    <t>pulled 1/26/24. replaces files missing county.</t>
  </si>
  <si>
    <t>2024 GA Primary CD6 - BIPOC ver 2.csv</t>
  </si>
  <si>
    <t>GA Primary, CD 6 &amp; 13, BIPOC voters</t>
  </si>
  <si>
    <t>GA</t>
  </si>
  <si>
    <t>Combined GA Primary 1-2024</t>
  </si>
  <si>
    <t>Primary 1-2024</t>
  </si>
  <si>
    <t># df['race'] = df['rownum'].map(lambda x: ('Hispanic' if x % 2==0 else 'Black') )</t>
  </si>
  <si>
    <t># df['age_group'] = df['age'].map(lambda x: ('Young' if x &lt;50 else 'Senior') )</t>
  </si>
  <si>
    <t># df['carol'] = df['pull_group'].map(lambda x: (True if x == 1 else False) )</t>
  </si>
  <si>
    <t># df['early_addresses'] = df['custom_field'].map(lambda x: (True if x in ['d','e'] else False) )</t>
  </si>
  <si>
    <t>Often blank, used if 'grouping' with different scripts for each group</t>
  </si>
  <si>
    <t>dupe_id_field</t>
  </si>
  <si>
    <t>df.loc[df['dupe_id_field'].isin(['L','D','O']), 'remove'] = "Duplicate other than first"      # usually keep 'F', 'X' of choices: (F)irst, (L)ast, other (D)upe, (O)ther [not used], 'X':not dupe</t>
  </si>
  <si>
    <t>&lt; any pull_groups not equal are flagged in remove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</si>
</sst>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_);_(\ \(#,##0\);_(&quot;-&quot;??_);_(@_)"/>
  </numFmts>
  <fonts count="45">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u/>
      <sz val="11"/>
      <color theme="1"/>
      <name val="Calibri"/>
      <family val="2"/>
      <scheme val="minor"/>
    </font>
    <font>
      <sz val="10"/>
      <color rgb="FF000000"/>
      <name val="Tahoma"/>
      <family val="2"/>
    </font>
    <font>
      <b/>
      <sz val="10"/>
      <color rgb="FF000000"/>
      <name val="Tahoma"/>
      <family val="2"/>
    </font>
    <font>
      <u/>
      <sz val="12"/>
      <color theme="1"/>
      <name val="Calibri"/>
      <family val="2"/>
      <scheme val="minor"/>
    </font>
    <font>
      <b/>
      <sz val="11"/>
      <color theme="1"/>
      <name val="Calibri"/>
      <family val="2"/>
      <scheme val="minor"/>
    </font>
    <font>
      <sz val="12"/>
      <color rgb="FF000000"/>
      <name val="Calibri"/>
      <family val="2"/>
      <scheme val="minor"/>
    </font>
    <font>
      <sz val="12"/>
      <color rgb="FF0033B3"/>
      <name val="Calibri"/>
      <family val="2"/>
      <scheme val="minor"/>
    </font>
    <font>
      <sz val="12"/>
      <color rgb="FF080808"/>
      <name val="Calibri"/>
      <family val="2"/>
      <scheme val="minor"/>
    </font>
    <font>
      <sz val="12"/>
      <color rgb="FF008DDE"/>
      <name val="Calibri"/>
      <family val="2"/>
      <scheme val="minor"/>
    </font>
    <font>
      <sz val="14"/>
      <color theme="1"/>
      <name val="Calibri"/>
      <family val="2"/>
      <scheme val="minor"/>
    </font>
    <font>
      <sz val="20"/>
      <color theme="1"/>
      <name val="Calibri"/>
      <family val="2"/>
      <scheme val="minor"/>
    </font>
    <font>
      <u/>
      <sz val="11"/>
      <color rgb="FFFF0000"/>
      <name val="Calibri"/>
      <family val="2"/>
      <scheme val="minor"/>
    </font>
    <font>
      <b/>
      <sz val="16"/>
      <color theme="1"/>
      <name val="Calibri"/>
      <family val="2"/>
      <scheme val="minor"/>
    </font>
    <font>
      <sz val="11"/>
      <color rgb="FF000000"/>
      <name val="Calibri"/>
      <family val="2"/>
      <scheme val="minor"/>
    </font>
    <font>
      <sz val="10"/>
      <color rgb="FF000000"/>
      <name val="Calibri"/>
      <family val="2"/>
    </font>
    <font>
      <sz val="10"/>
      <color rgb="FF8F5902"/>
      <name val="Menlo"/>
      <family val="2"/>
    </font>
    <font>
      <sz val="11"/>
      <color theme="0"/>
      <name val="Calibri"/>
      <family val="2"/>
      <scheme val="minor"/>
    </font>
    <font>
      <sz val="14"/>
      <color rgb="FF374151"/>
      <name val="Helvetica Neue"/>
      <family val="2"/>
    </font>
    <font>
      <b/>
      <sz val="20"/>
      <color theme="1"/>
      <name val="Calibri"/>
      <family val="2"/>
      <scheme val="minor"/>
    </font>
    <font>
      <u/>
      <sz val="14"/>
      <color rgb="FF374151"/>
      <name val="Helvetica Neue"/>
      <family val="2"/>
    </font>
    <font>
      <b/>
      <u/>
      <sz val="11"/>
      <color theme="1"/>
      <name val="Calibri"/>
      <family val="2"/>
      <scheme val="minor"/>
    </font>
    <font>
      <b/>
      <u/>
      <sz val="12"/>
      <color theme="1"/>
      <name val="Calibri"/>
      <family val="2"/>
      <scheme val="minor"/>
    </font>
    <font>
      <sz val="11"/>
      <color rgb="FF0033B3"/>
      <name val="Calibri"/>
      <family val="2"/>
      <scheme val="minor"/>
    </font>
    <font>
      <sz val="11"/>
      <color rgb="FF080808"/>
      <name val="Calibri"/>
      <family val="2"/>
      <scheme val="minor"/>
    </font>
    <font>
      <sz val="11"/>
      <color theme="1"/>
      <name val="Inherit"/>
    </font>
    <font>
      <sz val="11"/>
      <color theme="1"/>
      <name val="Calibri (Body)"/>
    </font>
    <font>
      <sz val="11"/>
      <color rgb="FF008DDE"/>
      <name val="Calibri"/>
      <family val="2"/>
      <scheme val="minor"/>
    </font>
    <font>
      <sz val="11"/>
      <color rgb="FF067D17"/>
      <name val="Courier New"/>
      <family val="1"/>
    </font>
    <font>
      <b/>
      <sz val="11"/>
      <color theme="0"/>
      <name val="Calibri"/>
      <family val="2"/>
      <scheme val="minor"/>
    </font>
    <font>
      <sz val="11"/>
      <name val="Calibri"/>
      <family val="2"/>
      <scheme val="minor"/>
    </font>
    <font>
      <b/>
      <sz val="11"/>
      <name val="Calibri"/>
      <family val="2"/>
      <scheme val="minor"/>
    </font>
    <font>
      <b/>
      <sz val="18"/>
      <color theme="1"/>
      <name val="Calibri"/>
      <family val="2"/>
      <scheme val="minor"/>
    </font>
    <font>
      <b/>
      <sz val="14"/>
      <color theme="1"/>
      <name val="Calibri"/>
      <family val="2"/>
      <scheme val="minor"/>
    </font>
    <font>
      <sz val="10"/>
      <color rgb="FF000000"/>
      <name val="Calibri"/>
      <scheme val="minor"/>
    </font>
  </fonts>
  <fills count="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rgb="FF00B050"/>
        <bgColor indexed="64"/>
      </patternFill>
    </fill>
    <fill>
      <patternFill patternType="solid">
        <fgColor theme="4" tint="0.79998168889431442"/>
        <bgColor indexed="64"/>
      </patternFill>
    </fill>
    <fill>
      <patternFill patternType="solid">
        <fgColor theme="5"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ck">
        <color indexed="64"/>
      </left>
      <right style="thick">
        <color indexed="64"/>
      </right>
      <top style="thick">
        <color indexed="64"/>
      </top>
      <bottom style="thick">
        <color indexed="64"/>
      </bottom>
      <diagonal/>
    </border>
    <border>
      <left/>
      <right/>
      <top style="thick">
        <color auto="1"/>
      </top>
      <bottom style="thick">
        <color auto="1"/>
      </bottom>
      <diagonal/>
    </border>
    <border>
      <left/>
      <right/>
      <top/>
      <bottom style="thin">
        <color auto="1"/>
      </bottom>
      <diagonal/>
    </border>
  </borders>
  <cellStyleXfs count="6">
    <xf numFmtId="0" fontId="0" fillId="0" borderId="0"/>
    <xf numFmtId="0" fontId="10" fillId="0" borderId="0"/>
    <xf numFmtId="0" fontId="9" fillId="0" borderId="0"/>
    <xf numFmtId="0" fontId="8" fillId="0" borderId="0"/>
    <xf numFmtId="43" fontId="10" fillId="0" borderId="0" applyFont="0" applyFill="0" applyBorder="0" applyAlignment="0" applyProtection="0"/>
    <xf numFmtId="0" fontId="6" fillId="0" borderId="0"/>
  </cellStyleXfs>
  <cellXfs count="100">
    <xf numFmtId="0" fontId="0" fillId="0" borderId="0" xfId="0"/>
    <xf numFmtId="0" fontId="11" fillId="0" borderId="0" xfId="0" applyFont="1"/>
    <xf numFmtId="0" fontId="9" fillId="0" borderId="0" xfId="2" applyAlignment="1">
      <alignment horizontal="left" wrapText="1"/>
    </xf>
    <xf numFmtId="0" fontId="11" fillId="0" borderId="0" xfId="0" applyFont="1" applyAlignment="1">
      <alignment horizontal="center"/>
    </xf>
    <xf numFmtId="0" fontId="0" fillId="0" borderId="0" xfId="0" applyAlignment="1">
      <alignment horizontal="center"/>
    </xf>
    <xf numFmtId="0" fontId="15" fillId="0" borderId="0" xfId="0" applyFont="1"/>
    <xf numFmtId="0" fontId="16" fillId="0" borderId="0" xfId="0" applyFont="1"/>
    <xf numFmtId="0" fontId="16" fillId="2" borderId="0" xfId="0" applyFont="1" applyFill="1"/>
    <xf numFmtId="0" fontId="0" fillId="3" borderId="0" xfId="0" applyFill="1"/>
    <xf numFmtId="0" fontId="0" fillId="4" borderId="0" xfId="0" applyFill="1"/>
    <xf numFmtId="0" fontId="17" fillId="0" borderId="0" xfId="0" applyFont="1"/>
    <xf numFmtId="0" fontId="7" fillId="0" borderId="0" xfId="0" applyFont="1"/>
    <xf numFmtId="0" fontId="18" fillId="0" borderId="0" xfId="0" applyFont="1"/>
    <xf numFmtId="0" fontId="19" fillId="0" borderId="0" xfId="0" applyFont="1"/>
    <xf numFmtId="0" fontId="0" fillId="2" borderId="0" xfId="0" applyFill="1"/>
    <xf numFmtId="0" fontId="0" fillId="0" borderId="0" xfId="0" quotePrefix="1"/>
    <xf numFmtId="14" fontId="0" fillId="0" borderId="0" xfId="0" applyNumberFormat="1"/>
    <xf numFmtId="0" fontId="0" fillId="0" borderId="0" xfId="0" applyAlignment="1">
      <alignment horizontal="right"/>
    </xf>
    <xf numFmtId="0" fontId="0" fillId="5" borderId="0" xfId="0" quotePrefix="1" applyFill="1"/>
    <xf numFmtId="164" fontId="0" fillId="0" borderId="0" xfId="0" applyNumberFormat="1"/>
    <xf numFmtId="0" fontId="20" fillId="0" borderId="0" xfId="0" applyFont="1"/>
    <xf numFmtId="0" fontId="11" fillId="6" borderId="0" xfId="0" quotePrefix="1" applyFont="1" applyFill="1"/>
    <xf numFmtId="0" fontId="11" fillId="0" borderId="0" xfId="0" applyFont="1" applyAlignment="1">
      <alignment horizontal="center" wrapText="1"/>
    </xf>
    <xf numFmtId="0" fontId="21" fillId="5" borderId="0" xfId="0" applyFont="1" applyFill="1"/>
    <xf numFmtId="164" fontId="0" fillId="0" borderId="0" xfId="4" applyNumberFormat="1" applyFont="1"/>
    <xf numFmtId="0" fontId="22" fillId="0" borderId="0" xfId="0" applyFont="1" applyAlignment="1">
      <alignment horizontal="center" wrapText="1"/>
    </xf>
    <xf numFmtId="0" fontId="0" fillId="0" borderId="0" xfId="0" applyAlignment="1">
      <alignment horizontal="left"/>
    </xf>
    <xf numFmtId="0" fontId="23" fillId="0" borderId="0" xfId="0" applyFont="1"/>
    <xf numFmtId="0" fontId="24" fillId="0" borderId="0" xfId="0" applyFont="1"/>
    <xf numFmtId="0" fontId="0" fillId="0" borderId="0" xfId="0" quotePrefix="1" applyAlignment="1">
      <alignment horizontal="center"/>
    </xf>
    <xf numFmtId="0" fontId="14" fillId="0" borderId="0" xfId="5" applyFont="1" applyAlignment="1">
      <alignment horizontal="center"/>
    </xf>
    <xf numFmtId="0" fontId="6" fillId="0" borderId="0" xfId="5"/>
    <xf numFmtId="0" fontId="11" fillId="0" borderId="0" xfId="0" applyFont="1" applyAlignment="1">
      <alignment horizontal="left"/>
    </xf>
    <xf numFmtId="0" fontId="0" fillId="4" borderId="0" xfId="0" applyFill="1" applyAlignment="1">
      <alignment horizontal="right"/>
    </xf>
    <xf numFmtId="0" fontId="5" fillId="0" borderId="0" xfId="0" applyFont="1"/>
    <xf numFmtId="0" fontId="0" fillId="0" borderId="0" xfId="0" applyAlignment="1">
      <alignment horizontal="center" wrapText="1"/>
    </xf>
    <xf numFmtId="0" fontId="4" fillId="0" borderId="0" xfId="5" applyFont="1"/>
    <xf numFmtId="0" fontId="3" fillId="0" borderId="0" xfId="5" applyFont="1"/>
    <xf numFmtId="0" fontId="2" fillId="0" borderId="0" xfId="5" applyFont="1"/>
    <xf numFmtId="0" fontId="26" fillId="0" borderId="0" xfId="0" applyFont="1"/>
    <xf numFmtId="0" fontId="1" fillId="0" borderId="0" xfId="5" applyFont="1"/>
    <xf numFmtId="0" fontId="0" fillId="5" borderId="0" xfId="0" applyFill="1"/>
    <xf numFmtId="0" fontId="27" fillId="4" borderId="0" xfId="0" applyFont="1" applyFill="1"/>
    <xf numFmtId="0" fontId="27" fillId="0" borderId="0" xfId="0" applyFont="1"/>
    <xf numFmtId="0" fontId="28" fillId="0" borderId="0" xfId="0" applyFont="1"/>
    <xf numFmtId="0" fontId="0" fillId="0" borderId="0" xfId="0" applyAlignment="1">
      <alignment horizontal="right" wrapText="1"/>
    </xf>
    <xf numFmtId="0" fontId="29" fillId="0" borderId="0" xfId="0" applyFont="1"/>
    <xf numFmtId="0" fontId="30" fillId="0" borderId="0" xfId="0" applyFont="1"/>
    <xf numFmtId="0" fontId="0" fillId="7" borderId="1" xfId="0" applyFill="1" applyBorder="1"/>
    <xf numFmtId="0" fontId="0" fillId="2" borderId="1" xfId="0" applyFill="1" applyBorder="1"/>
    <xf numFmtId="0" fontId="31" fillId="0" borderId="0" xfId="0" applyFont="1"/>
    <xf numFmtId="0" fontId="31" fillId="0" borderId="0" xfId="0" applyFont="1" applyAlignment="1">
      <alignment horizontal="center"/>
    </xf>
    <xf numFmtId="0" fontId="32" fillId="0" borderId="0" xfId="2" applyFont="1" applyAlignment="1">
      <alignment horizontal="center" wrapText="1"/>
    </xf>
    <xf numFmtId="0" fontId="15" fillId="2" borderId="0" xfId="0" applyFont="1" applyFill="1"/>
    <xf numFmtId="0" fontId="33" fillId="0" borderId="0" xfId="0" applyFont="1"/>
    <xf numFmtId="0" fontId="35" fillId="0" borderId="0" xfId="0" applyFont="1"/>
    <xf numFmtId="0" fontId="36" fillId="0" borderId="0" xfId="0" applyFont="1"/>
    <xf numFmtId="0" fontId="34" fillId="0" borderId="0" xfId="0" applyFont="1"/>
    <xf numFmtId="0" fontId="37" fillId="0" borderId="0" xfId="0" applyFont="1"/>
    <xf numFmtId="0" fontId="38" fillId="0" borderId="0" xfId="0" applyFont="1"/>
    <xf numFmtId="0" fontId="0" fillId="0" borderId="2" xfId="0" applyBorder="1"/>
    <xf numFmtId="0" fontId="40" fillId="2" borderId="0" xfId="0" applyFont="1" applyFill="1"/>
    <xf numFmtId="0" fontId="41" fillId="2" borderId="0" xfId="0" applyFont="1" applyFill="1"/>
    <xf numFmtId="0" fontId="15" fillId="0" borderId="0" xfId="0" applyFont="1" applyAlignment="1">
      <alignment horizontal="center"/>
    </xf>
    <xf numFmtId="0" fontId="42" fillId="0" borderId="0" xfId="0" applyFont="1"/>
    <xf numFmtId="0" fontId="39" fillId="4" borderId="3" xfId="0" applyFont="1" applyFill="1" applyBorder="1" applyAlignment="1">
      <alignment horizontal="center"/>
    </xf>
    <xf numFmtId="0" fontId="0" fillId="0" borderId="0" xfId="0" applyAlignment="1">
      <alignment horizontal="left" indent="1"/>
    </xf>
    <xf numFmtId="165" fontId="39" fillId="4" borderId="3" xfId="4" applyNumberFormat="1" applyFont="1" applyFill="1" applyBorder="1" applyAlignment="1">
      <alignment horizontal="center"/>
    </xf>
    <xf numFmtId="0" fontId="0" fillId="0" borderId="0" xfId="0" quotePrefix="1" applyAlignment="1">
      <alignment horizontal="left" indent="1"/>
    </xf>
    <xf numFmtId="0" fontId="43" fillId="0" borderId="0" xfId="0" applyFont="1"/>
    <xf numFmtId="0" fontId="0" fillId="0" borderId="3" xfId="0" applyBorder="1"/>
    <xf numFmtId="0" fontId="0" fillId="0" borderId="3" xfId="0" applyBorder="1" applyAlignment="1">
      <alignment horizontal="center"/>
    </xf>
    <xf numFmtId="0" fontId="40" fillId="0" borderId="3" xfId="0" applyFont="1" applyBorder="1" applyAlignment="1">
      <alignment horizontal="center"/>
    </xf>
    <xf numFmtId="0" fontId="0" fillId="0" borderId="3" xfId="0" quotePrefix="1" applyBorder="1" applyAlignment="1">
      <alignment horizontal="center"/>
    </xf>
    <xf numFmtId="165" fontId="40" fillId="0" borderId="3" xfId="4" applyNumberFormat="1" applyFont="1" applyFill="1" applyBorder="1" applyAlignment="1">
      <alignment horizontal="center"/>
    </xf>
    <xf numFmtId="0" fontId="40" fillId="0" borderId="0" xfId="0" applyFont="1"/>
    <xf numFmtId="0" fontId="41" fillId="2" borderId="0" xfId="0" quotePrefix="1" applyFont="1" applyFill="1"/>
    <xf numFmtId="2" fontId="0" fillId="0" borderId="0" xfId="0" applyNumberFormat="1"/>
    <xf numFmtId="0" fontId="0" fillId="0" borderId="0" xfId="0" applyFill="1"/>
    <xf numFmtId="0" fontId="0" fillId="0" borderId="0" xfId="0" applyAlignment="1"/>
    <xf numFmtId="0" fontId="0" fillId="0" borderId="2" xfId="0" applyBorder="1" applyAlignment="1"/>
    <xf numFmtId="0" fontId="0" fillId="0" borderId="0" xfId="0" quotePrefix="1" applyAlignment="1"/>
    <xf numFmtId="0" fontId="0" fillId="2" borderId="0" xfId="0" applyFill="1" applyAlignment="1">
      <alignment horizontal="left" indent="1"/>
    </xf>
    <xf numFmtId="0" fontId="0" fillId="8" borderId="0" xfId="0" applyFill="1" applyAlignment="1"/>
    <xf numFmtId="0" fontId="11" fillId="8" borderId="0" xfId="0" applyFont="1" applyFill="1"/>
    <xf numFmtId="0" fontId="15" fillId="0" borderId="0" xfId="0" applyFont="1" applyAlignment="1">
      <alignment horizontal="left"/>
    </xf>
    <xf numFmtId="0" fontId="15" fillId="0" borderId="0" xfId="0" applyFont="1" applyAlignment="1">
      <alignment horizontal="left" indent="1"/>
    </xf>
    <xf numFmtId="0" fontId="0" fillId="0" borderId="0" xfId="0" applyFill="1" applyAlignment="1">
      <alignment horizontal="left" indent="1"/>
    </xf>
    <xf numFmtId="0" fontId="0" fillId="0" borderId="0" xfId="0" applyFill="1" applyAlignment="1"/>
    <xf numFmtId="0" fontId="0" fillId="0" borderId="0" xfId="0" applyBorder="1"/>
    <xf numFmtId="0" fontId="0" fillId="0" borderId="0" xfId="0" quotePrefix="1" applyBorder="1"/>
    <xf numFmtId="0" fontId="0" fillId="0" borderId="0" xfId="0" quotePrefix="1" applyBorder="1" applyAlignment="1"/>
    <xf numFmtId="0" fontId="24" fillId="0" borderId="0" xfId="0" applyFont="1" applyBorder="1"/>
    <xf numFmtId="0" fontId="0" fillId="0" borderId="0" xfId="0" applyBorder="1" applyAlignment="1"/>
    <xf numFmtId="0" fontId="0" fillId="0" borderId="4" xfId="0" applyBorder="1"/>
    <xf numFmtId="0" fontId="24" fillId="0" borderId="2" xfId="0" applyFont="1" applyBorder="1"/>
    <xf numFmtId="0" fontId="0" fillId="0" borderId="5" xfId="0" applyFill="1" applyBorder="1"/>
    <xf numFmtId="0" fontId="27" fillId="0" borderId="5" xfId="0" applyFont="1" applyFill="1" applyBorder="1"/>
    <xf numFmtId="0" fontId="0" fillId="2" borderId="5" xfId="0" applyFill="1" applyBorder="1"/>
    <xf numFmtId="0" fontId="0" fillId="0" borderId="5" xfId="0" applyBorder="1"/>
  </cellXfs>
  <cellStyles count="6">
    <cellStyle name="Comma" xfId="4" builtinId="3"/>
    <cellStyle name="Normal" xfId="0" builtinId="0"/>
    <cellStyle name="Normal 2" xfId="1" xr:uid="{5AECC48F-2A6B-DE46-9CB3-D20885F54848}"/>
    <cellStyle name="Normal 3" xfId="2" xr:uid="{256FEB9B-25C7-6C47-B1F5-7E15FDCC0F71}"/>
    <cellStyle name="Normal 3 2" xfId="3" xr:uid="{0BA6FC4E-84FF-7040-8F08-AF1A2881EFF3}"/>
    <cellStyle name="Normal 4" xfId="5" xr:uid="{D4253EC2-95D6-9647-8BB1-C51A5C28394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D69D-6F0A-CA48-9F65-656AC01A1219}">
  <sheetPr>
    <tabColor rgb="FFFFFF00"/>
    <pageSetUpPr fitToPage="1"/>
  </sheetPr>
  <dimension ref="A1:AD194"/>
  <sheetViews>
    <sheetView topLeftCell="G1" zoomScale="110" zoomScaleNormal="110" workbookViewId="0">
      <pane ySplit="1" topLeftCell="A57" activePane="bottomLeft" state="frozen"/>
      <selection activeCell="BE112" sqref="BE112"/>
      <selection pane="bottomLeft" activeCell="G60" sqref="G60"/>
    </sheetView>
  </sheetViews>
  <sheetFormatPr baseColWidth="10" defaultColWidth="10.83203125" defaultRowHeight="15" outlineLevelCol="3"/>
  <cols>
    <col min="1" max="1" width="10" hidden="1" customWidth="1" outlineLevel="3"/>
    <col min="2" max="3" width="8.1640625" hidden="1" customWidth="1" outlineLevel="3"/>
    <col min="4" max="4" width="8.83203125" hidden="1" customWidth="1" outlineLevel="3"/>
    <col min="5" max="5" width="45" hidden="1" customWidth="1" outlineLevel="3"/>
    <col min="6" max="6" width="38.6640625" style="79" hidden="1" customWidth="1" outlineLevel="2"/>
    <col min="7" max="7" width="59.1640625" customWidth="1" collapsed="1"/>
    <col min="8" max="8" width="14.6640625" customWidth="1"/>
    <col min="9" max="9" width="12.33203125" customWidth="1"/>
    <col min="59" max="59" width="12.6640625" bestFit="1" customWidth="1"/>
    <col min="60" max="60" width="20.83203125" bestFit="1" customWidth="1"/>
  </cols>
  <sheetData>
    <row r="1" spans="1:14" ht="24">
      <c r="A1" t="s">
        <v>446</v>
      </c>
      <c r="B1" t="s">
        <v>449</v>
      </c>
      <c r="C1" t="s">
        <v>447</v>
      </c>
      <c r="D1" t="s">
        <v>452</v>
      </c>
      <c r="E1" t="s">
        <v>448</v>
      </c>
      <c r="F1" s="79" t="s">
        <v>468</v>
      </c>
      <c r="G1" s="64" t="s">
        <v>289</v>
      </c>
      <c r="J1" s="85" t="s">
        <v>627</v>
      </c>
      <c r="K1" s="63"/>
      <c r="L1" s="63"/>
    </row>
    <row r="2" spans="1:14" ht="19">
      <c r="B2" s="28">
        <v>2</v>
      </c>
      <c r="C2">
        <v>2</v>
      </c>
      <c r="F2" s="80"/>
      <c r="G2" s="20"/>
    </row>
    <row r="3" spans="1:14" ht="21">
      <c r="B3">
        <v>3</v>
      </c>
      <c r="C3">
        <v>3</v>
      </c>
      <c r="G3" s="27" t="s">
        <v>538</v>
      </c>
    </row>
    <row r="4" spans="1:14" ht="16" thickBot="1">
      <c r="B4">
        <v>4</v>
      </c>
      <c r="C4">
        <v>4</v>
      </c>
      <c r="G4" s="1" t="s">
        <v>539</v>
      </c>
      <c r="L4" s="62" t="s">
        <v>644</v>
      </c>
      <c r="M4" s="62"/>
      <c r="N4" s="14"/>
    </row>
    <row r="5" spans="1:14" ht="17" thickTop="1" thickBot="1">
      <c r="A5" t="b">
        <v>1</v>
      </c>
      <c r="B5">
        <v>5</v>
      </c>
      <c r="C5">
        <v>5</v>
      </c>
      <c r="D5" t="b">
        <v>1</v>
      </c>
      <c r="E5" s="15" t="s">
        <v>450</v>
      </c>
      <c r="F5" s="79" t="s">
        <v>601</v>
      </c>
      <c r="G5" s="65" t="s">
        <v>677</v>
      </c>
      <c r="H5" s="66" t="s">
        <v>540</v>
      </c>
      <c r="L5" s="62" t="s">
        <v>645</v>
      </c>
      <c r="M5" s="62"/>
      <c r="N5" s="14"/>
    </row>
    <row r="6" spans="1:14" ht="16" thickTop="1">
      <c r="B6">
        <v>9</v>
      </c>
      <c r="C6">
        <v>6</v>
      </c>
      <c r="M6" s="62" t="s">
        <v>646</v>
      </c>
      <c r="N6" s="62"/>
    </row>
    <row r="7" spans="1:14" ht="16" thickBot="1">
      <c r="B7">
        <v>7</v>
      </c>
      <c r="C7">
        <v>7</v>
      </c>
      <c r="G7" s="1" t="s">
        <v>541</v>
      </c>
    </row>
    <row r="8" spans="1:14" ht="17" thickTop="1" thickBot="1">
      <c r="A8" t="b">
        <v>1</v>
      </c>
      <c r="B8">
        <v>8</v>
      </c>
      <c r="C8">
        <v>8</v>
      </c>
      <c r="D8" t="b">
        <v>1</v>
      </c>
      <c r="E8" s="15" t="s">
        <v>451</v>
      </c>
      <c r="F8" s="79" t="s">
        <v>602</v>
      </c>
      <c r="G8" s="65" t="s">
        <v>678</v>
      </c>
      <c r="H8" s="66" t="s">
        <v>542</v>
      </c>
    </row>
    <row r="9" spans="1:14" ht="16" thickTop="1">
      <c r="B9">
        <v>6</v>
      </c>
      <c r="C9">
        <v>9</v>
      </c>
    </row>
    <row r="10" spans="1:14" ht="16" thickBot="1">
      <c r="B10">
        <v>61</v>
      </c>
      <c r="C10">
        <v>10</v>
      </c>
      <c r="G10" s="1" t="s">
        <v>543</v>
      </c>
    </row>
    <row r="11" spans="1:14" ht="17" thickTop="1" thickBot="1">
      <c r="A11" s="57" t="s">
        <v>472</v>
      </c>
      <c r="B11">
        <v>62</v>
      </c>
      <c r="C11">
        <v>11</v>
      </c>
      <c r="D11" t="b">
        <v>1</v>
      </c>
      <c r="E11" s="15" t="s">
        <v>492</v>
      </c>
      <c r="F11" s="81" t="s">
        <v>603</v>
      </c>
      <c r="G11" s="65" t="s">
        <v>679</v>
      </c>
      <c r="H11" s="66" t="s">
        <v>544</v>
      </c>
    </row>
    <row r="12" spans="1:14" ht="16" thickTop="1">
      <c r="B12">
        <v>63</v>
      </c>
      <c r="C12">
        <v>12</v>
      </c>
      <c r="G12" s="43"/>
    </row>
    <row r="13" spans="1:14" ht="16" thickBot="1">
      <c r="B13">
        <v>104</v>
      </c>
      <c r="C13">
        <v>13</v>
      </c>
      <c r="G13" s="1" t="s">
        <v>545</v>
      </c>
    </row>
    <row r="14" spans="1:14" ht="17" thickTop="1" thickBot="1">
      <c r="A14" s="57" t="s">
        <v>473</v>
      </c>
      <c r="B14">
        <v>105</v>
      </c>
      <c r="C14">
        <v>14</v>
      </c>
      <c r="D14" t="b">
        <v>1</v>
      </c>
      <c r="E14" s="15" t="s">
        <v>493</v>
      </c>
      <c r="F14" s="79" t="s">
        <v>604</v>
      </c>
      <c r="G14" s="65" t="s">
        <v>680</v>
      </c>
      <c r="H14" s="66" t="s">
        <v>546</v>
      </c>
    </row>
    <row r="15" spans="1:14" ht="16" thickTop="1">
      <c r="B15">
        <v>106</v>
      </c>
      <c r="C15">
        <v>15</v>
      </c>
      <c r="G15" s="43"/>
    </row>
    <row r="16" spans="1:14" ht="16" thickBot="1">
      <c r="B16">
        <v>93</v>
      </c>
      <c r="C16">
        <v>16</v>
      </c>
      <c r="G16" s="1" t="s">
        <v>658</v>
      </c>
    </row>
    <row r="17" spans="1:14" ht="17" thickTop="1" thickBot="1">
      <c r="A17" t="b">
        <v>1</v>
      </c>
      <c r="B17">
        <v>94</v>
      </c>
      <c r="C17">
        <v>17</v>
      </c>
      <c r="D17" t="b">
        <v>1</v>
      </c>
      <c r="E17" s="15" t="s">
        <v>665</v>
      </c>
      <c r="F17" s="79" t="s">
        <v>660</v>
      </c>
      <c r="G17" s="67" t="s">
        <v>19</v>
      </c>
      <c r="H17" s="66" t="s">
        <v>664</v>
      </c>
    </row>
    <row r="18" spans="1:14" ht="16" thickTop="1">
      <c r="B18">
        <v>95</v>
      </c>
      <c r="C18">
        <v>18</v>
      </c>
      <c r="G18" s="43"/>
    </row>
    <row r="19" spans="1:14" ht="16" thickBot="1">
      <c r="B19">
        <v>93</v>
      </c>
      <c r="C19">
        <v>18.2</v>
      </c>
      <c r="G19" s="1" t="s">
        <v>659</v>
      </c>
    </row>
    <row r="20" spans="1:14" ht="17" thickTop="1" thickBot="1">
      <c r="A20" t="b">
        <v>1</v>
      </c>
      <c r="B20">
        <v>94</v>
      </c>
      <c r="C20">
        <v>18.399999999999999</v>
      </c>
      <c r="D20" s="89" t="b">
        <v>1</v>
      </c>
      <c r="E20" s="15" t="s">
        <v>662</v>
      </c>
      <c r="F20" s="79" t="s">
        <v>661</v>
      </c>
      <c r="G20" s="67"/>
      <c r="H20" s="66" t="s">
        <v>685</v>
      </c>
    </row>
    <row r="21" spans="1:14" ht="16" thickTop="1">
      <c r="C21">
        <v>18.600000000000001</v>
      </c>
      <c r="G21" s="43" t="s">
        <v>666</v>
      </c>
    </row>
    <row r="22" spans="1:14" ht="16" thickBot="1">
      <c r="B22">
        <v>18</v>
      </c>
      <c r="C22">
        <v>19</v>
      </c>
      <c r="G22" s="1" t="s">
        <v>547</v>
      </c>
    </row>
    <row r="23" spans="1:14" ht="17" thickTop="1" thickBot="1">
      <c r="A23" t="b">
        <v>1</v>
      </c>
      <c r="B23">
        <v>19</v>
      </c>
      <c r="C23">
        <v>20</v>
      </c>
      <c r="D23" t="b">
        <v>1</v>
      </c>
      <c r="E23" s="15" t="s">
        <v>456</v>
      </c>
      <c r="F23" s="81" t="s">
        <v>605</v>
      </c>
      <c r="G23" s="67">
        <v>999999</v>
      </c>
      <c r="H23" s="68" t="s">
        <v>548</v>
      </c>
    </row>
    <row r="24" spans="1:14" ht="16" thickTop="1">
      <c r="B24">
        <v>20</v>
      </c>
      <c r="C24">
        <v>21</v>
      </c>
      <c r="E24" s="15"/>
    </row>
    <row r="25" spans="1:14" ht="16" thickBot="1">
      <c r="B25">
        <v>34</v>
      </c>
      <c r="C25">
        <v>22</v>
      </c>
      <c r="G25" s="1" t="s">
        <v>372</v>
      </c>
    </row>
    <row r="26" spans="1:14" ht="17" thickTop="1" thickBot="1">
      <c r="A26" s="57" t="s">
        <v>471</v>
      </c>
      <c r="B26">
        <v>35</v>
      </c>
      <c r="C26">
        <v>23</v>
      </c>
      <c r="D26" t="b">
        <v>1</v>
      </c>
      <c r="E26" s="15" t="s">
        <v>491</v>
      </c>
      <c r="G26" s="67" t="b">
        <v>1</v>
      </c>
      <c r="H26" s="66" t="s">
        <v>549</v>
      </c>
    </row>
    <row r="27" spans="1:14" ht="16" thickTop="1">
      <c r="B27">
        <v>36</v>
      </c>
      <c r="C27">
        <v>24</v>
      </c>
      <c r="G27" s="4"/>
    </row>
    <row r="28" spans="1:14">
      <c r="B28">
        <v>10</v>
      </c>
      <c r="C28">
        <v>25</v>
      </c>
    </row>
    <row r="29" spans="1:14" ht="21">
      <c r="B29">
        <v>11</v>
      </c>
      <c r="C29">
        <v>26</v>
      </c>
      <c r="G29" s="27" t="s">
        <v>550</v>
      </c>
    </row>
    <row r="30" spans="1:14" ht="19">
      <c r="B30">
        <v>139</v>
      </c>
      <c r="C30">
        <v>27</v>
      </c>
      <c r="G30" s="69" t="s">
        <v>551</v>
      </c>
    </row>
    <row r="31" spans="1:14">
      <c r="B31">
        <v>140</v>
      </c>
      <c r="C31">
        <v>28</v>
      </c>
      <c r="F31" s="79" t="s">
        <v>607</v>
      </c>
      <c r="G31" s="1" t="s">
        <v>552</v>
      </c>
      <c r="H31" s="86" t="s">
        <v>628</v>
      </c>
      <c r="L31" s="62" t="s">
        <v>647</v>
      </c>
      <c r="M31" s="62"/>
      <c r="N31" s="14"/>
    </row>
    <row r="32" spans="1:14">
      <c r="B32">
        <v>14</v>
      </c>
      <c r="C32">
        <v>29</v>
      </c>
      <c r="G32" s="66" t="s">
        <v>553</v>
      </c>
    </row>
    <row r="33" spans="1:23">
      <c r="A33" t="b">
        <v>1</v>
      </c>
      <c r="B33" s="89">
        <v>141</v>
      </c>
      <c r="C33" s="89">
        <v>30</v>
      </c>
      <c r="D33" s="89" t="b">
        <v>1</v>
      </c>
      <c r="E33" s="90" t="s">
        <v>453</v>
      </c>
      <c r="F33" s="91" t="s">
        <v>517</v>
      </c>
      <c r="G33" s="95" t="s">
        <v>346</v>
      </c>
      <c r="H33" s="95" t="s">
        <v>201</v>
      </c>
      <c r="I33" s="95" t="s">
        <v>204</v>
      </c>
      <c r="J33" s="95" t="s">
        <v>205</v>
      </c>
      <c r="K33" s="95" t="s">
        <v>206</v>
      </c>
      <c r="L33" s="95" t="s">
        <v>48</v>
      </c>
      <c r="M33" s="95" t="s">
        <v>207</v>
      </c>
      <c r="N33" s="95" t="s">
        <v>208</v>
      </c>
      <c r="O33" s="95" t="s">
        <v>209</v>
      </c>
      <c r="P33" s="95" t="s">
        <v>210</v>
      </c>
      <c r="Q33" s="60" t="s">
        <v>211</v>
      </c>
      <c r="R33" s="60"/>
      <c r="S33" s="60"/>
      <c r="T33" s="60"/>
    </row>
    <row r="34" spans="1:23">
      <c r="A34" t="b">
        <v>1</v>
      </c>
      <c r="B34" s="89">
        <v>142</v>
      </c>
      <c r="C34" s="89">
        <v>31</v>
      </c>
      <c r="D34" s="89" t="b">
        <v>1</v>
      </c>
      <c r="E34" s="90" t="s">
        <v>454</v>
      </c>
      <c r="F34" s="93" t="s">
        <v>277</v>
      </c>
      <c r="G34" s="89" t="s">
        <v>346</v>
      </c>
      <c r="H34" s="89" t="s">
        <v>20</v>
      </c>
      <c r="I34" s="89" t="s">
        <v>22</v>
      </c>
      <c r="J34" s="89" t="s">
        <v>23</v>
      </c>
      <c r="K34" s="89" t="s">
        <v>24</v>
      </c>
      <c r="L34" s="89" t="s">
        <v>19</v>
      </c>
      <c r="M34" s="89" t="s">
        <v>54</v>
      </c>
      <c r="N34" s="89" t="s">
        <v>15</v>
      </c>
      <c r="O34" s="89" t="s">
        <v>16</v>
      </c>
      <c r="P34" s="89" t="s">
        <v>17</v>
      </c>
      <c r="Q34" s="89" t="s">
        <v>21</v>
      </c>
      <c r="R34" s="89" t="s">
        <v>14</v>
      </c>
      <c r="S34" s="89"/>
      <c r="T34" s="92"/>
    </row>
    <row r="35" spans="1:23">
      <c r="A35" t="b">
        <v>1</v>
      </c>
      <c r="B35">
        <v>143</v>
      </c>
      <c r="C35">
        <v>32</v>
      </c>
      <c r="D35" t="b">
        <v>1</v>
      </c>
      <c r="E35" s="15" t="s">
        <v>455</v>
      </c>
      <c r="F35" s="81" t="s">
        <v>606</v>
      </c>
      <c r="G35" s="96"/>
      <c r="H35" s="97"/>
      <c r="I35" s="97"/>
      <c r="J35" s="98" t="s">
        <v>270</v>
      </c>
      <c r="K35" s="99"/>
      <c r="L35" s="99"/>
      <c r="M35" s="99"/>
      <c r="N35" s="99"/>
      <c r="O35" s="99"/>
      <c r="P35" s="99"/>
      <c r="Q35" s="99"/>
      <c r="R35" s="99"/>
      <c r="S35" s="99"/>
      <c r="T35" s="99"/>
    </row>
    <row r="36" spans="1:23">
      <c r="B36">
        <v>149</v>
      </c>
      <c r="C36">
        <v>33</v>
      </c>
    </row>
    <row r="37" spans="1:23" ht="16" thickBot="1">
      <c r="B37">
        <v>150</v>
      </c>
      <c r="C37">
        <v>34</v>
      </c>
      <c r="G37" s="1" t="s">
        <v>554</v>
      </c>
      <c r="H37" s="66" t="s">
        <v>555</v>
      </c>
    </row>
    <row r="38" spans="1:23" ht="17" thickTop="1" thickBot="1">
      <c r="A38" s="57" t="s">
        <v>475</v>
      </c>
      <c r="B38">
        <v>151</v>
      </c>
      <c r="C38">
        <v>35</v>
      </c>
      <c r="D38" t="b">
        <v>1</v>
      </c>
      <c r="E38" s="15" t="s">
        <v>504</v>
      </c>
      <c r="F38" s="79" t="s">
        <v>622</v>
      </c>
      <c r="G38" s="94" t="s">
        <v>54</v>
      </c>
      <c r="H38" s="94"/>
      <c r="I38" s="94"/>
      <c r="J38" s="94"/>
      <c r="K38" s="94"/>
      <c r="L38" s="94"/>
      <c r="M38" s="94"/>
      <c r="N38" s="94"/>
      <c r="O38" s="94"/>
      <c r="P38" s="94"/>
      <c r="Q38" s="94"/>
    </row>
    <row r="39" spans="1:23" ht="16" thickTop="1">
      <c r="B39">
        <v>152</v>
      </c>
      <c r="C39">
        <v>36</v>
      </c>
    </row>
    <row r="40" spans="1:23" ht="16" thickBot="1">
      <c r="B40">
        <v>155</v>
      </c>
      <c r="C40">
        <v>37</v>
      </c>
      <c r="G40" s="1" t="s">
        <v>556</v>
      </c>
      <c r="H40" s="66" t="s">
        <v>557</v>
      </c>
    </row>
    <row r="41" spans="1:23" ht="17" thickTop="1" thickBot="1">
      <c r="A41" t="b">
        <v>1</v>
      </c>
      <c r="B41">
        <v>156</v>
      </c>
      <c r="C41">
        <v>38</v>
      </c>
      <c r="D41" t="b">
        <v>1</v>
      </c>
      <c r="E41" s="15" t="s">
        <v>458</v>
      </c>
      <c r="F41" s="79" t="s">
        <v>623</v>
      </c>
      <c r="G41" s="94" t="s">
        <v>20</v>
      </c>
      <c r="H41" s="94" t="s">
        <v>22</v>
      </c>
      <c r="I41" s="94" t="s">
        <v>14</v>
      </c>
      <c r="J41" s="94" t="s">
        <v>16</v>
      </c>
      <c r="K41" s="94" t="s">
        <v>21</v>
      </c>
      <c r="L41" s="94" t="s">
        <v>17</v>
      </c>
      <c r="M41" s="94" t="s">
        <v>24</v>
      </c>
      <c r="N41" s="94" t="s">
        <v>23</v>
      </c>
      <c r="O41" s="94" t="s">
        <v>19</v>
      </c>
      <c r="P41" s="94" t="s">
        <v>362</v>
      </c>
      <c r="Q41" s="94"/>
      <c r="R41" s="94"/>
      <c r="S41" s="94"/>
      <c r="T41" s="94"/>
      <c r="U41" s="94"/>
      <c r="V41" s="94"/>
      <c r="W41" s="94"/>
    </row>
    <row r="42" spans="1:23" ht="16" thickTop="1">
      <c r="B42">
        <v>157</v>
      </c>
      <c r="C42">
        <v>39</v>
      </c>
      <c r="F42" s="81"/>
    </row>
    <row r="43" spans="1:23" ht="16" thickBot="1">
      <c r="B43">
        <v>191</v>
      </c>
      <c r="C43">
        <v>40</v>
      </c>
      <c r="G43" s="1" t="s">
        <v>558</v>
      </c>
    </row>
    <row r="44" spans="1:23" ht="17" thickTop="1" thickBot="1">
      <c r="A44" s="57" t="s">
        <v>477</v>
      </c>
      <c r="B44">
        <v>192</v>
      </c>
      <c r="C44">
        <v>41</v>
      </c>
      <c r="D44" t="b">
        <v>1</v>
      </c>
      <c r="E44" s="15" t="s">
        <v>495</v>
      </c>
      <c r="F44" s="79" t="s">
        <v>279</v>
      </c>
      <c r="G44" s="71" t="s">
        <v>346</v>
      </c>
      <c r="H44" s="66" t="s">
        <v>559</v>
      </c>
    </row>
    <row r="45" spans="1:23" ht="16" thickTop="1">
      <c r="B45">
        <v>193</v>
      </c>
      <c r="C45">
        <v>42</v>
      </c>
    </row>
    <row r="46" spans="1:23" ht="16" thickBot="1">
      <c r="B46">
        <v>194</v>
      </c>
      <c r="C46">
        <v>43</v>
      </c>
      <c r="G46" t="s">
        <v>560</v>
      </c>
      <c r="H46" s="66"/>
    </row>
    <row r="47" spans="1:23" ht="17" thickTop="1" thickBot="1">
      <c r="A47" s="57" t="s">
        <v>478</v>
      </c>
      <c r="B47">
        <v>195</v>
      </c>
      <c r="C47">
        <v>44</v>
      </c>
      <c r="D47" t="b">
        <v>1</v>
      </c>
      <c r="E47" s="15" t="s">
        <v>496</v>
      </c>
      <c r="F47" s="79" t="s">
        <v>278</v>
      </c>
      <c r="G47" s="71" t="s">
        <v>212</v>
      </c>
    </row>
    <row r="48" spans="1:23" ht="16" thickTop="1">
      <c r="B48">
        <v>196</v>
      </c>
      <c r="C48">
        <v>45</v>
      </c>
    </row>
    <row r="49" spans="1:16" ht="16" thickBot="1">
      <c r="B49">
        <v>187</v>
      </c>
      <c r="C49">
        <v>46</v>
      </c>
      <c r="G49" s="1" t="s">
        <v>288</v>
      </c>
    </row>
    <row r="50" spans="1:16" ht="17" thickTop="1" thickBot="1">
      <c r="A50" s="57" t="s">
        <v>476</v>
      </c>
      <c r="B50">
        <v>188</v>
      </c>
      <c r="C50">
        <v>47</v>
      </c>
      <c r="D50" t="b">
        <v>1</v>
      </c>
      <c r="E50" s="15" t="s">
        <v>494</v>
      </c>
      <c r="F50" s="79" t="s">
        <v>608</v>
      </c>
      <c r="G50" s="72" t="b">
        <v>0</v>
      </c>
      <c r="H50" s="66" t="s">
        <v>609</v>
      </c>
    </row>
    <row r="51" spans="1:16" ht="16" thickTop="1">
      <c r="B51">
        <v>189</v>
      </c>
      <c r="C51">
        <v>48</v>
      </c>
    </row>
    <row r="52" spans="1:16" ht="19">
      <c r="B52">
        <v>97</v>
      </c>
      <c r="C52">
        <v>49</v>
      </c>
      <c r="G52" s="69" t="s">
        <v>561</v>
      </c>
      <c r="H52" s="66" t="s">
        <v>562</v>
      </c>
    </row>
    <row r="53" spans="1:16" ht="49" thickBot="1">
      <c r="B53" s="77">
        <v>97.5</v>
      </c>
      <c r="C53">
        <v>50</v>
      </c>
      <c r="G53" s="4" t="s">
        <v>563</v>
      </c>
      <c r="H53" s="35" t="s">
        <v>564</v>
      </c>
      <c r="I53" s="35" t="s">
        <v>565</v>
      </c>
    </row>
    <row r="54" spans="1:16" ht="17" thickTop="1" thickBot="1">
      <c r="A54" s="60" t="b">
        <v>1</v>
      </c>
      <c r="B54">
        <v>98</v>
      </c>
      <c r="C54">
        <v>51</v>
      </c>
      <c r="D54" s="60" t="b">
        <v>1</v>
      </c>
      <c r="E54" s="15" t="s">
        <v>510</v>
      </c>
      <c r="F54" s="79" t="s">
        <v>519</v>
      </c>
      <c r="G54" s="71" t="s">
        <v>686</v>
      </c>
      <c r="H54" s="73" t="b">
        <v>0</v>
      </c>
      <c r="I54" s="71" t="b">
        <v>1</v>
      </c>
    </row>
    <row r="55" spans="1:16" ht="17" thickTop="1" thickBot="1">
      <c r="A55" t="b">
        <v>1</v>
      </c>
      <c r="B55">
        <v>99</v>
      </c>
      <c r="C55">
        <v>52</v>
      </c>
      <c r="D55" t="b">
        <v>1</v>
      </c>
      <c r="E55" s="15" t="s">
        <v>511</v>
      </c>
      <c r="F55" s="81"/>
      <c r="G55" s="71"/>
      <c r="H55" s="71" t="b">
        <v>0</v>
      </c>
      <c r="I55" s="71" t="b">
        <v>0</v>
      </c>
    </row>
    <row r="56" spans="1:16" ht="17" thickTop="1" thickBot="1">
      <c r="A56" t="b">
        <v>1</v>
      </c>
      <c r="B56">
        <v>100</v>
      </c>
      <c r="C56">
        <v>53</v>
      </c>
      <c r="D56" t="b">
        <v>1</v>
      </c>
      <c r="E56" s="15" t="s">
        <v>512</v>
      </c>
      <c r="G56" s="71"/>
      <c r="H56" s="71" t="b">
        <v>0</v>
      </c>
      <c r="I56" s="71" t="b">
        <v>0</v>
      </c>
    </row>
    <row r="57" spans="1:16" ht="17" thickTop="1" thickBot="1">
      <c r="A57" t="b">
        <v>1</v>
      </c>
      <c r="B57">
        <v>101</v>
      </c>
      <c r="C57">
        <v>54</v>
      </c>
      <c r="D57" t="b">
        <v>1</v>
      </c>
      <c r="E57" s="15" t="s">
        <v>513</v>
      </c>
      <c r="G57" s="71"/>
      <c r="H57" s="71" t="b">
        <v>1</v>
      </c>
      <c r="I57" s="71" t="b">
        <v>1</v>
      </c>
    </row>
    <row r="58" spans="1:16" ht="17" thickTop="1" thickBot="1">
      <c r="A58" t="b">
        <v>1</v>
      </c>
      <c r="B58">
        <v>102</v>
      </c>
      <c r="C58">
        <v>55</v>
      </c>
      <c r="D58" t="b">
        <v>1</v>
      </c>
      <c r="E58" s="15" t="s">
        <v>514</v>
      </c>
      <c r="G58" s="71"/>
      <c r="H58" s="71" t="b">
        <v>0</v>
      </c>
      <c r="I58" s="71" t="b">
        <v>1</v>
      </c>
    </row>
    <row r="59" spans="1:16" ht="16" thickTop="1">
      <c r="B59">
        <v>102.5</v>
      </c>
      <c r="C59">
        <v>56</v>
      </c>
      <c r="E59" s="15"/>
    </row>
    <row r="60" spans="1:16">
      <c r="B60">
        <v>103</v>
      </c>
      <c r="C60">
        <v>57</v>
      </c>
    </row>
    <row r="61" spans="1:16" ht="19">
      <c r="B61">
        <v>16</v>
      </c>
      <c r="C61">
        <v>58</v>
      </c>
      <c r="G61" s="69" t="s">
        <v>567</v>
      </c>
    </row>
    <row r="62" spans="1:16" ht="16" thickBot="1">
      <c r="B62">
        <v>12</v>
      </c>
      <c r="C62">
        <v>59</v>
      </c>
      <c r="G62" s="1" t="s">
        <v>566</v>
      </c>
      <c r="L62" s="62" t="s">
        <v>612</v>
      </c>
      <c r="M62" s="61"/>
      <c r="N62" s="61"/>
      <c r="O62" s="61"/>
      <c r="P62" s="61"/>
    </row>
    <row r="63" spans="1:16" ht="17" thickTop="1" thickBot="1">
      <c r="A63" t="b">
        <v>1</v>
      </c>
      <c r="B63">
        <v>13</v>
      </c>
      <c r="C63">
        <v>60</v>
      </c>
      <c r="D63" t="b">
        <v>1</v>
      </c>
      <c r="E63" t="s">
        <v>457</v>
      </c>
      <c r="F63" s="79" t="s">
        <v>611</v>
      </c>
      <c r="G63" s="71" t="s">
        <v>276</v>
      </c>
      <c r="H63" s="66" t="s">
        <v>610</v>
      </c>
    </row>
    <row r="64" spans="1:16" ht="16" thickTop="1">
      <c r="B64">
        <v>15</v>
      </c>
      <c r="C64">
        <v>61</v>
      </c>
    </row>
    <row r="65" spans="1:15" ht="16" thickBot="1">
      <c r="B65">
        <v>23</v>
      </c>
      <c r="C65">
        <v>62</v>
      </c>
      <c r="G65" s="1" t="s">
        <v>568</v>
      </c>
    </row>
    <row r="66" spans="1:15" ht="17" thickTop="1" thickBot="1">
      <c r="A66" s="57" t="s">
        <v>469</v>
      </c>
      <c r="B66">
        <v>24</v>
      </c>
      <c r="C66">
        <v>63</v>
      </c>
      <c r="D66" t="b">
        <v>1</v>
      </c>
      <c r="E66" s="15" t="s">
        <v>490</v>
      </c>
      <c r="F66" s="79" t="s">
        <v>515</v>
      </c>
      <c r="G66" s="72">
        <v>3</v>
      </c>
      <c r="H66" s="66" t="s">
        <v>569</v>
      </c>
    </row>
    <row r="67" spans="1:15" ht="16" thickTop="1">
      <c r="B67">
        <v>25</v>
      </c>
      <c r="C67">
        <v>64</v>
      </c>
    </row>
    <row r="68" spans="1:15">
      <c r="B68">
        <v>37</v>
      </c>
      <c r="C68">
        <v>65</v>
      </c>
      <c r="G68" s="1" t="s">
        <v>614</v>
      </c>
      <c r="H68" s="66" t="s">
        <v>615</v>
      </c>
      <c r="L68" s="62" t="s">
        <v>570</v>
      </c>
      <c r="M68" s="61"/>
      <c r="N68" s="61"/>
      <c r="O68" s="61"/>
    </row>
    <row r="69" spans="1:15">
      <c r="A69" t="b">
        <v>1</v>
      </c>
      <c r="B69">
        <v>38</v>
      </c>
      <c r="C69">
        <v>66</v>
      </c>
      <c r="D69" t="b">
        <v>1</v>
      </c>
      <c r="E69" s="15" t="s">
        <v>520</v>
      </c>
      <c r="F69" s="79" t="s">
        <v>613</v>
      </c>
      <c r="G69" t="s">
        <v>375</v>
      </c>
    </row>
    <row r="70" spans="1:15">
      <c r="B70">
        <v>39</v>
      </c>
      <c r="C70">
        <v>67</v>
      </c>
    </row>
    <row r="71" spans="1:15" ht="16" thickBot="1">
      <c r="B71">
        <v>41</v>
      </c>
      <c r="C71">
        <v>68</v>
      </c>
      <c r="G71" s="32" t="s">
        <v>616</v>
      </c>
      <c r="H71" s="82" t="s">
        <v>617</v>
      </c>
      <c r="I71" s="14"/>
      <c r="J71" s="78"/>
      <c r="K71" s="78"/>
      <c r="L71" s="62" t="s">
        <v>625</v>
      </c>
      <c r="M71" s="61"/>
      <c r="N71" s="61"/>
      <c r="O71" s="61"/>
    </row>
    <row r="72" spans="1:15" ht="17" thickTop="1" thickBot="1">
      <c r="A72" t="b">
        <v>1</v>
      </c>
      <c r="B72">
        <v>42</v>
      </c>
      <c r="C72">
        <v>69</v>
      </c>
      <c r="D72" t="b">
        <v>1</v>
      </c>
      <c r="E72" s="15" t="s">
        <v>466</v>
      </c>
      <c r="F72" s="79" t="s">
        <v>526</v>
      </c>
      <c r="G72" s="71" t="s">
        <v>467</v>
      </c>
      <c r="L72" s="62" t="s">
        <v>570</v>
      </c>
      <c r="M72" s="61"/>
      <c r="N72" s="61"/>
    </row>
    <row r="73" spans="1:15" ht="16" thickTop="1">
      <c r="B73">
        <v>43</v>
      </c>
      <c r="C73">
        <v>70</v>
      </c>
      <c r="G73" s="26"/>
    </row>
    <row r="74" spans="1:15" ht="16" thickBot="1">
      <c r="B74">
        <v>199</v>
      </c>
      <c r="C74">
        <v>71</v>
      </c>
      <c r="G74" s="1" t="s">
        <v>571</v>
      </c>
    </row>
    <row r="75" spans="1:15" ht="17" thickTop="1" thickBot="1">
      <c r="A75" s="57" t="s">
        <v>479</v>
      </c>
      <c r="B75">
        <v>200</v>
      </c>
      <c r="C75">
        <v>72</v>
      </c>
      <c r="D75" t="b">
        <v>1</v>
      </c>
      <c r="E75" s="15" t="s">
        <v>497</v>
      </c>
      <c r="F75" s="79" t="s">
        <v>624</v>
      </c>
      <c r="G75" s="72" t="b">
        <v>1</v>
      </c>
      <c r="H75" s="66" t="s">
        <v>572</v>
      </c>
    </row>
    <row r="76" spans="1:15" ht="16" thickTop="1">
      <c r="B76">
        <v>201</v>
      </c>
      <c r="C76">
        <v>73</v>
      </c>
    </row>
    <row r="77" spans="1:15" ht="16" thickBot="1">
      <c r="B77">
        <v>210</v>
      </c>
      <c r="C77">
        <v>74</v>
      </c>
      <c r="G77" s="1" t="s">
        <v>573</v>
      </c>
      <c r="L77" s="62" t="s">
        <v>574</v>
      </c>
      <c r="M77" s="62"/>
      <c r="N77" s="14"/>
    </row>
    <row r="78" spans="1:15" ht="17" thickTop="1" thickBot="1">
      <c r="A78" s="57" t="s">
        <v>480</v>
      </c>
      <c r="B78">
        <v>211</v>
      </c>
      <c r="C78">
        <v>75</v>
      </c>
      <c r="D78" t="b">
        <v>1</v>
      </c>
      <c r="E78" s="15" t="s">
        <v>498</v>
      </c>
      <c r="F78" s="83" t="s">
        <v>518</v>
      </c>
      <c r="G78" s="72" t="b">
        <v>1</v>
      </c>
      <c r="H78" s="66" t="s">
        <v>575</v>
      </c>
    </row>
    <row r="79" spans="1:15" ht="16" thickTop="1">
      <c r="B79">
        <v>212</v>
      </c>
      <c r="C79">
        <v>76</v>
      </c>
    </row>
    <row r="80" spans="1:15" ht="16" thickBot="1">
      <c r="B80">
        <v>214</v>
      </c>
      <c r="C80">
        <v>77</v>
      </c>
      <c r="G80" s="1" t="s">
        <v>576</v>
      </c>
    </row>
    <row r="81" spans="1:30" ht="17" thickTop="1" thickBot="1">
      <c r="A81" t="s">
        <v>481</v>
      </c>
      <c r="B81">
        <v>215</v>
      </c>
      <c r="C81">
        <v>78</v>
      </c>
      <c r="D81" t="b">
        <v>1</v>
      </c>
      <c r="E81" s="15" t="s">
        <v>506</v>
      </c>
      <c r="F81" s="79" t="s">
        <v>618</v>
      </c>
      <c r="G81" s="72" t="s">
        <v>196</v>
      </c>
      <c r="H81" s="66" t="s">
        <v>577</v>
      </c>
    </row>
    <row r="82" spans="1:30" ht="16" thickTop="1">
      <c r="B82">
        <v>216</v>
      </c>
      <c r="C82">
        <v>79</v>
      </c>
    </row>
    <row r="83" spans="1:30">
      <c r="B83">
        <v>17</v>
      </c>
      <c r="C83">
        <v>80</v>
      </c>
    </row>
    <row r="84" spans="1:30" ht="19">
      <c r="B84">
        <v>21</v>
      </c>
      <c r="C84">
        <v>81</v>
      </c>
      <c r="G84" s="69" t="s">
        <v>578</v>
      </c>
    </row>
    <row r="85" spans="1:30" ht="16" thickBot="1">
      <c r="B85">
        <v>247</v>
      </c>
      <c r="C85">
        <v>82</v>
      </c>
      <c r="G85" s="1" t="s">
        <v>579</v>
      </c>
    </row>
    <row r="86" spans="1:30" ht="17" thickTop="1" thickBot="1">
      <c r="A86" s="57" t="s">
        <v>484</v>
      </c>
      <c r="B86">
        <v>248</v>
      </c>
      <c r="C86">
        <v>83</v>
      </c>
      <c r="D86" t="b">
        <v>1</v>
      </c>
      <c r="E86" s="15" t="s">
        <v>499</v>
      </c>
      <c r="F86" s="79" t="s">
        <v>619</v>
      </c>
      <c r="G86" s="72" t="b">
        <v>1</v>
      </c>
      <c r="H86" s="66" t="s">
        <v>580</v>
      </c>
    </row>
    <row r="87" spans="1:30" ht="16" thickTop="1">
      <c r="B87">
        <v>249</v>
      </c>
      <c r="C87">
        <v>84</v>
      </c>
      <c r="G87" s="4"/>
    </row>
    <row r="88" spans="1:30" ht="16" thickBot="1">
      <c r="B88">
        <v>252</v>
      </c>
      <c r="C88">
        <v>85</v>
      </c>
      <c r="G88" s="1" t="s">
        <v>581</v>
      </c>
    </row>
    <row r="89" spans="1:30" ht="17" thickTop="1" thickBot="1">
      <c r="A89" s="57" t="s">
        <v>485</v>
      </c>
      <c r="B89">
        <v>253</v>
      </c>
      <c r="C89">
        <v>86</v>
      </c>
      <c r="D89" t="b">
        <v>1</v>
      </c>
      <c r="E89" s="15" t="s">
        <v>500</v>
      </c>
      <c r="F89" s="79" t="s">
        <v>620</v>
      </c>
      <c r="G89" s="72" t="b">
        <v>1</v>
      </c>
      <c r="H89" s="66" t="s">
        <v>582</v>
      </c>
    </row>
    <row r="90" spans="1:30" ht="16" thickTop="1">
      <c r="B90">
        <v>254</v>
      </c>
      <c r="C90">
        <v>87</v>
      </c>
    </row>
    <row r="91" spans="1:30" ht="16" thickBot="1">
      <c r="B91">
        <v>28</v>
      </c>
      <c r="C91">
        <v>88</v>
      </c>
      <c r="G91" s="84" t="s">
        <v>667</v>
      </c>
      <c r="N91" s="62" t="s">
        <v>583</v>
      </c>
      <c r="O91" s="61"/>
      <c r="P91" s="61"/>
      <c r="Q91" s="61"/>
      <c r="AD91" s="28"/>
    </row>
    <row r="92" spans="1:30" ht="17" thickTop="1" thickBot="1">
      <c r="A92" s="57" t="s">
        <v>470</v>
      </c>
      <c r="B92">
        <v>29</v>
      </c>
      <c r="C92">
        <v>89</v>
      </c>
      <c r="D92" t="b">
        <v>1</v>
      </c>
      <c r="E92" s="15" t="s">
        <v>502</v>
      </c>
      <c r="F92" s="83" t="s">
        <v>516</v>
      </c>
      <c r="G92" s="74">
        <v>1</v>
      </c>
      <c r="H92" s="66" t="s">
        <v>584</v>
      </c>
    </row>
    <row r="93" spans="1:30" ht="16" thickTop="1">
      <c r="B93">
        <v>30</v>
      </c>
      <c r="C93">
        <v>90</v>
      </c>
      <c r="G93" s="75" t="s">
        <v>266</v>
      </c>
      <c r="L93" s="62" t="s">
        <v>585</v>
      </c>
      <c r="M93" s="61"/>
      <c r="N93" s="61"/>
    </row>
    <row r="94" spans="1:30">
      <c r="B94">
        <v>22</v>
      </c>
      <c r="C94">
        <v>91</v>
      </c>
    </row>
    <row r="95" spans="1:30" ht="16" thickBot="1">
      <c r="B95">
        <v>109</v>
      </c>
      <c r="C95">
        <v>92</v>
      </c>
      <c r="G95" s="1" t="s">
        <v>586</v>
      </c>
      <c r="I95" s="17"/>
    </row>
    <row r="96" spans="1:30" ht="17" thickTop="1" thickBot="1">
      <c r="A96" s="57" t="s">
        <v>474</v>
      </c>
      <c r="B96">
        <v>110</v>
      </c>
      <c r="C96">
        <v>93</v>
      </c>
      <c r="D96" t="b">
        <v>1</v>
      </c>
      <c r="E96" s="15" t="s">
        <v>503</v>
      </c>
      <c r="F96" s="79" t="s">
        <v>626</v>
      </c>
      <c r="G96" s="74">
        <v>25000</v>
      </c>
      <c r="H96" s="66" t="s">
        <v>587</v>
      </c>
      <c r="J96" s="75"/>
      <c r="K96" s="75"/>
    </row>
    <row r="97" spans="1:16" ht="16" thickTop="1">
      <c r="B97">
        <v>111</v>
      </c>
      <c r="C97">
        <v>94</v>
      </c>
    </row>
    <row r="98" spans="1:16">
      <c r="B98">
        <v>26</v>
      </c>
      <c r="C98">
        <v>95</v>
      </c>
    </row>
    <row r="99" spans="1:16" ht="21">
      <c r="B99">
        <v>27</v>
      </c>
      <c r="C99">
        <v>96</v>
      </c>
      <c r="G99" s="27" t="s">
        <v>597</v>
      </c>
    </row>
    <row r="100" spans="1:16" ht="16" thickBot="1">
      <c r="B100">
        <v>219</v>
      </c>
      <c r="C100">
        <v>97</v>
      </c>
      <c r="G100" s="1" t="s">
        <v>588</v>
      </c>
      <c r="H100" s="87" t="s">
        <v>630</v>
      </c>
      <c r="I100" s="78"/>
    </row>
    <row r="101" spans="1:16" ht="17" thickTop="1" thickBot="1">
      <c r="A101" t="s">
        <v>459</v>
      </c>
      <c r="B101">
        <v>220</v>
      </c>
      <c r="C101">
        <v>98</v>
      </c>
      <c r="D101" t="b">
        <v>1</v>
      </c>
      <c r="E101" s="15" t="s">
        <v>460</v>
      </c>
      <c r="F101" s="79" t="s">
        <v>629</v>
      </c>
      <c r="G101" s="72" t="b">
        <v>0</v>
      </c>
      <c r="H101" s="66" t="s">
        <v>549</v>
      </c>
      <c r="L101" s="62" t="s">
        <v>598</v>
      </c>
      <c r="M101" s="62"/>
      <c r="N101" s="62"/>
    </row>
    <row r="102" spans="1:16" ht="16" thickTop="1">
      <c r="B102">
        <v>221</v>
      </c>
      <c r="C102">
        <v>99</v>
      </c>
      <c r="H102" s="66"/>
    </row>
    <row r="103" spans="1:16" ht="16" thickBot="1">
      <c r="B103">
        <v>223</v>
      </c>
      <c r="C103">
        <v>100</v>
      </c>
      <c r="G103" s="1" t="s">
        <v>589</v>
      </c>
      <c r="H103" s="66" t="s">
        <v>590</v>
      </c>
    </row>
    <row r="104" spans="1:16" s="79" customFormat="1" ht="17" thickTop="1" thickBot="1">
      <c r="A104" s="79" t="s">
        <v>465</v>
      </c>
      <c r="B104" s="79">
        <v>224</v>
      </c>
      <c r="C104">
        <v>101</v>
      </c>
      <c r="D104" s="79" t="b">
        <v>1</v>
      </c>
      <c r="E104" s="81" t="s">
        <v>507</v>
      </c>
      <c r="F104" s="88" t="s">
        <v>631</v>
      </c>
      <c r="G104" s="71" t="s">
        <v>284</v>
      </c>
      <c r="H104" s="66" t="s">
        <v>591</v>
      </c>
      <c r="L104" s="62" t="s">
        <v>643</v>
      </c>
      <c r="M104" s="62"/>
      <c r="N104" s="62"/>
      <c r="O104" s="62"/>
      <c r="P104" s="62"/>
    </row>
    <row r="105" spans="1:16" ht="16" thickTop="1">
      <c r="B105">
        <v>225</v>
      </c>
      <c r="C105">
        <v>102</v>
      </c>
    </row>
    <row r="106" spans="1:16" ht="16" thickBot="1">
      <c r="B106">
        <v>228</v>
      </c>
      <c r="C106">
        <v>103</v>
      </c>
      <c r="G106" s="1" t="s">
        <v>592</v>
      </c>
      <c r="H106" s="66" t="s">
        <v>633</v>
      </c>
    </row>
    <row r="107" spans="1:16" ht="17" thickTop="1" thickBot="1">
      <c r="A107" t="s">
        <v>462</v>
      </c>
      <c r="B107">
        <v>229</v>
      </c>
      <c r="C107">
        <v>104</v>
      </c>
      <c r="D107" t="b">
        <v>1</v>
      </c>
      <c r="E107" s="15" t="s">
        <v>461</v>
      </c>
      <c r="F107" s="88" t="s">
        <v>632</v>
      </c>
      <c r="G107" s="72" t="b">
        <v>1</v>
      </c>
      <c r="H107" s="66" t="s">
        <v>593</v>
      </c>
    </row>
    <row r="108" spans="1:16" ht="16" thickTop="1">
      <c r="B108">
        <v>230</v>
      </c>
      <c r="C108">
        <v>105</v>
      </c>
    </row>
    <row r="109" spans="1:16" ht="16" thickBot="1">
      <c r="B109">
        <v>232</v>
      </c>
      <c r="C109">
        <v>106</v>
      </c>
      <c r="G109" s="1" t="s">
        <v>594</v>
      </c>
    </row>
    <row r="110" spans="1:16" ht="17" thickTop="1" thickBot="1">
      <c r="A110" s="57" t="s">
        <v>482</v>
      </c>
      <c r="B110">
        <v>233</v>
      </c>
      <c r="C110">
        <v>107</v>
      </c>
      <c r="D110" t="b">
        <v>1</v>
      </c>
      <c r="E110" s="15" t="s">
        <v>508</v>
      </c>
      <c r="F110" s="88" t="s">
        <v>639</v>
      </c>
      <c r="G110" s="71" t="s">
        <v>285</v>
      </c>
      <c r="H110" s="66" t="s">
        <v>591</v>
      </c>
      <c r="L110" s="62" t="s">
        <v>634</v>
      </c>
      <c r="M110" s="62"/>
      <c r="N110" s="62"/>
      <c r="O110" s="62"/>
      <c r="P110" s="62"/>
    </row>
    <row r="111" spans="1:16" ht="16" thickTop="1">
      <c r="B111">
        <v>234</v>
      </c>
      <c r="C111">
        <v>108</v>
      </c>
    </row>
    <row r="112" spans="1:16" ht="16" thickBot="1">
      <c r="B112">
        <v>237</v>
      </c>
      <c r="C112">
        <v>109</v>
      </c>
      <c r="G112" s="1" t="s">
        <v>595</v>
      </c>
      <c r="H112" s="66" t="s">
        <v>635</v>
      </c>
    </row>
    <row r="113" spans="1:16" ht="17" thickTop="1" thickBot="1">
      <c r="A113" t="s">
        <v>463</v>
      </c>
      <c r="B113">
        <v>238</v>
      </c>
      <c r="C113">
        <v>110</v>
      </c>
      <c r="D113" t="b">
        <v>1</v>
      </c>
      <c r="E113" s="15" t="s">
        <v>464</v>
      </c>
      <c r="F113" s="88" t="s">
        <v>636</v>
      </c>
      <c r="G113" s="72" t="b">
        <v>1</v>
      </c>
      <c r="H113" s="66" t="s">
        <v>593</v>
      </c>
    </row>
    <row r="114" spans="1:16" ht="16" thickTop="1">
      <c r="B114">
        <v>239</v>
      </c>
      <c r="C114">
        <v>111</v>
      </c>
    </row>
    <row r="115" spans="1:16" ht="16" thickBot="1">
      <c r="B115">
        <v>241</v>
      </c>
      <c r="C115">
        <v>112</v>
      </c>
      <c r="G115" s="1" t="s">
        <v>596</v>
      </c>
    </row>
    <row r="116" spans="1:16" ht="17" thickTop="1" thickBot="1">
      <c r="A116" s="57" t="s">
        <v>483</v>
      </c>
      <c r="B116">
        <v>242</v>
      </c>
      <c r="C116">
        <v>113</v>
      </c>
      <c r="D116" t="b">
        <v>1</v>
      </c>
      <c r="E116" s="15" t="s">
        <v>509</v>
      </c>
      <c r="F116" s="88" t="s">
        <v>637</v>
      </c>
      <c r="G116" s="71" t="s">
        <v>286</v>
      </c>
      <c r="H116" s="66" t="s">
        <v>591</v>
      </c>
      <c r="L116" s="62" t="s">
        <v>638</v>
      </c>
      <c r="M116" s="62"/>
      <c r="N116" s="62"/>
      <c r="O116" s="62"/>
      <c r="P116" s="62"/>
    </row>
    <row r="117" spans="1:16" ht="16" thickTop="1">
      <c r="B117">
        <v>243</v>
      </c>
      <c r="C117">
        <v>114</v>
      </c>
    </row>
    <row r="118" spans="1:16">
      <c r="B118">
        <v>244</v>
      </c>
      <c r="C118">
        <v>115</v>
      </c>
    </row>
    <row r="119" spans="1:16" ht="21">
      <c r="B119">
        <v>287</v>
      </c>
      <c r="C119">
        <v>116</v>
      </c>
      <c r="G119" s="27" t="s">
        <v>263</v>
      </c>
    </row>
    <row r="120" spans="1:16" ht="16" thickBot="1">
      <c r="B120">
        <v>288</v>
      </c>
      <c r="C120">
        <v>117</v>
      </c>
      <c r="G120" t="s">
        <v>640</v>
      </c>
    </row>
    <row r="121" spans="1:16" ht="17" thickTop="1" thickBot="1">
      <c r="A121" s="57" t="s">
        <v>486</v>
      </c>
      <c r="B121">
        <v>289</v>
      </c>
      <c r="C121">
        <v>118</v>
      </c>
      <c r="D121" t="b">
        <v>1</v>
      </c>
      <c r="E121" s="15" t="s">
        <v>501</v>
      </c>
      <c r="F121" s="88" t="s">
        <v>642</v>
      </c>
      <c r="G121" s="72" t="b">
        <v>0</v>
      </c>
      <c r="H121" s="66" t="s">
        <v>641</v>
      </c>
    </row>
    <row r="122" spans="1:16" ht="16" thickTop="1">
      <c r="B122">
        <v>290</v>
      </c>
      <c r="C122">
        <v>119</v>
      </c>
      <c r="G122" s="75"/>
    </row>
    <row r="123" spans="1:16" ht="16" thickBot="1">
      <c r="B123">
        <v>293</v>
      </c>
      <c r="C123">
        <v>120</v>
      </c>
      <c r="G123" s="84" t="s">
        <v>192</v>
      </c>
    </row>
    <row r="124" spans="1:16" ht="17" thickTop="1" thickBot="1">
      <c r="A124" s="57" t="s">
        <v>487</v>
      </c>
      <c r="B124">
        <v>294</v>
      </c>
      <c r="C124">
        <v>121</v>
      </c>
      <c r="D124" t="b">
        <v>1</v>
      </c>
      <c r="E124" s="15" t="s">
        <v>521</v>
      </c>
      <c r="F124" s="83" t="s">
        <v>523</v>
      </c>
      <c r="G124" s="70" t="s">
        <v>193</v>
      </c>
    </row>
    <row r="125" spans="1:16" ht="16" thickTop="1">
      <c r="B125">
        <v>295</v>
      </c>
      <c r="C125">
        <v>122</v>
      </c>
    </row>
    <row r="126" spans="1:16" ht="16" thickBot="1">
      <c r="B126">
        <v>298</v>
      </c>
      <c r="C126">
        <v>123</v>
      </c>
      <c r="G126" s="84" t="s">
        <v>621</v>
      </c>
      <c r="N126" s="76" t="s">
        <v>599</v>
      </c>
      <c r="O126" s="61"/>
      <c r="P126" s="61"/>
    </row>
    <row r="127" spans="1:16" ht="17" thickTop="1" thickBot="1">
      <c r="A127" s="57" t="s">
        <v>488</v>
      </c>
      <c r="B127">
        <v>299</v>
      </c>
      <c r="C127">
        <v>124</v>
      </c>
      <c r="D127" t="b">
        <v>1</v>
      </c>
      <c r="E127" s="15" t="s">
        <v>522</v>
      </c>
      <c r="F127" s="83" t="s">
        <v>524</v>
      </c>
      <c r="G127" s="70" t="s">
        <v>191</v>
      </c>
    </row>
    <row r="128" spans="1:16" ht="16" thickTop="1">
      <c r="B128">
        <v>300</v>
      </c>
      <c r="C128">
        <v>125</v>
      </c>
    </row>
    <row r="129" spans="1:14">
      <c r="B129">
        <v>303</v>
      </c>
      <c r="C129">
        <v>126</v>
      </c>
      <c r="G129" s="21" t="s">
        <v>188</v>
      </c>
      <c r="H129" s="42" t="s">
        <v>190</v>
      </c>
      <c r="I129" s="9"/>
      <c r="J129" s="9"/>
      <c r="K129" s="9"/>
      <c r="L129" s="9"/>
      <c r="N129" s="62" t="s">
        <v>600</v>
      </c>
    </row>
    <row r="130" spans="1:14">
      <c r="A130" s="57" t="s">
        <v>489</v>
      </c>
      <c r="B130">
        <v>304</v>
      </c>
      <c r="C130">
        <v>127</v>
      </c>
      <c r="D130" t="b">
        <v>1</v>
      </c>
      <c r="E130" s="15" t="s">
        <v>505</v>
      </c>
      <c r="F130" s="79" t="s">
        <v>280</v>
      </c>
      <c r="G130" t="s">
        <v>57</v>
      </c>
      <c r="H130" t="s">
        <v>14</v>
      </c>
      <c r="I130" t="s">
        <v>15</v>
      </c>
      <c r="J130" t="s">
        <v>16</v>
      </c>
      <c r="N130" s="62" t="s">
        <v>600</v>
      </c>
    </row>
    <row r="133" spans="1:14">
      <c r="G133" s="14" t="s">
        <v>648</v>
      </c>
    </row>
    <row r="134" spans="1:14">
      <c r="B134">
        <v>31</v>
      </c>
    </row>
    <row r="135" spans="1:14">
      <c r="B135">
        <v>32</v>
      </c>
    </row>
    <row r="136" spans="1:14">
      <c r="B136">
        <v>33</v>
      </c>
      <c r="G136" s="5" t="s">
        <v>373</v>
      </c>
    </row>
    <row r="137" spans="1:14">
      <c r="B137">
        <v>40</v>
      </c>
      <c r="G137" s="26"/>
    </row>
    <row r="138" spans="1:14">
      <c r="B138">
        <v>44</v>
      </c>
    </row>
    <row r="139" spans="1:14">
      <c r="B139">
        <v>58</v>
      </c>
      <c r="G139" s="4"/>
    </row>
    <row r="140" spans="1:14">
      <c r="B140">
        <v>59</v>
      </c>
    </row>
    <row r="141" spans="1:14" collapsed="1">
      <c r="B141">
        <v>60</v>
      </c>
      <c r="G141" s="5" t="s">
        <v>194</v>
      </c>
    </row>
    <row r="142" spans="1:14">
      <c r="B142">
        <v>64</v>
      </c>
    </row>
    <row r="143" spans="1:14">
      <c r="B143">
        <v>91</v>
      </c>
      <c r="G143" s="4"/>
    </row>
    <row r="144" spans="1:14">
      <c r="B144">
        <v>92</v>
      </c>
      <c r="G144" s="5" t="s">
        <v>18</v>
      </c>
    </row>
    <row r="145" spans="2:2">
      <c r="B145">
        <v>96</v>
      </c>
    </row>
    <row r="146" spans="2:2">
      <c r="B146">
        <v>107</v>
      </c>
    </row>
    <row r="147" spans="2:2">
      <c r="B147">
        <v>108</v>
      </c>
    </row>
    <row r="148" spans="2:2">
      <c r="B148">
        <v>112</v>
      </c>
    </row>
    <row r="149" spans="2:2">
      <c r="B149">
        <v>137</v>
      </c>
    </row>
    <row r="150" spans="2:2">
      <c r="B150">
        <v>138</v>
      </c>
    </row>
    <row r="151" spans="2:2">
      <c r="B151">
        <v>144</v>
      </c>
    </row>
    <row r="152" spans="2:2">
      <c r="B152">
        <v>145</v>
      </c>
    </row>
    <row r="153" spans="2:2">
      <c r="B153">
        <v>146</v>
      </c>
    </row>
    <row r="154" spans="2:2">
      <c r="B154">
        <v>147</v>
      </c>
    </row>
    <row r="155" spans="2:2">
      <c r="B155">
        <v>148</v>
      </c>
    </row>
    <row r="156" spans="2:2">
      <c r="B156">
        <v>153</v>
      </c>
    </row>
    <row r="157" spans="2:2">
      <c r="B157">
        <v>154</v>
      </c>
    </row>
    <row r="158" spans="2:2">
      <c r="B158">
        <v>158</v>
      </c>
    </row>
    <row r="159" spans="2:2">
      <c r="B159">
        <v>184</v>
      </c>
    </row>
    <row r="160" spans="2:2">
      <c r="B160">
        <v>185</v>
      </c>
    </row>
    <row r="161" spans="2:7">
      <c r="B161">
        <v>186</v>
      </c>
      <c r="G161" s="5" t="s">
        <v>262</v>
      </c>
    </row>
    <row r="162" spans="2:7">
      <c r="B162">
        <v>190</v>
      </c>
    </row>
    <row r="163" spans="2:7">
      <c r="B163">
        <v>197</v>
      </c>
    </row>
    <row r="164" spans="2:7">
      <c r="B164">
        <v>198</v>
      </c>
    </row>
    <row r="165" spans="2:7">
      <c r="B165">
        <v>202</v>
      </c>
    </row>
    <row r="166" spans="2:7">
      <c r="B166">
        <v>203</v>
      </c>
      <c r="G166" s="4"/>
    </row>
    <row r="167" spans="2:7">
      <c r="B167">
        <v>208</v>
      </c>
    </row>
    <row r="168" spans="2:7">
      <c r="B168">
        <v>209</v>
      </c>
      <c r="G168" s="4"/>
    </row>
    <row r="169" spans="2:7">
      <c r="B169">
        <v>213</v>
      </c>
    </row>
    <row r="170" spans="2:7">
      <c r="B170">
        <v>217</v>
      </c>
      <c r="G170" s="4"/>
    </row>
    <row r="171" spans="2:7">
      <c r="B171">
        <v>218</v>
      </c>
      <c r="G171" s="4"/>
    </row>
    <row r="172" spans="2:7">
      <c r="B172">
        <v>222</v>
      </c>
    </row>
    <row r="173" spans="2:7">
      <c r="B173">
        <v>226</v>
      </c>
    </row>
    <row r="174" spans="2:7">
      <c r="B174">
        <v>227</v>
      </c>
    </row>
    <row r="175" spans="2:7">
      <c r="B175">
        <v>231</v>
      </c>
    </row>
    <row r="176" spans="2:7">
      <c r="B176">
        <v>235</v>
      </c>
    </row>
    <row r="177" spans="2:7">
      <c r="B177">
        <v>236</v>
      </c>
    </row>
    <row r="178" spans="2:7">
      <c r="B178">
        <v>240</v>
      </c>
    </row>
    <row r="179" spans="2:7">
      <c r="B179">
        <v>245</v>
      </c>
    </row>
    <row r="180" spans="2:7">
      <c r="B180">
        <v>246</v>
      </c>
    </row>
    <row r="181" spans="2:7">
      <c r="B181">
        <v>250</v>
      </c>
    </row>
    <row r="182" spans="2:7">
      <c r="B182">
        <v>251</v>
      </c>
    </row>
    <row r="183" spans="2:7">
      <c r="B183">
        <v>255</v>
      </c>
      <c r="G183" s="1"/>
    </row>
    <row r="184" spans="2:7">
      <c r="B184">
        <v>286</v>
      </c>
    </row>
    <row r="185" spans="2:7">
      <c r="B185">
        <v>291</v>
      </c>
    </row>
    <row r="186" spans="2:7">
      <c r="B186">
        <v>292</v>
      </c>
    </row>
    <row r="187" spans="2:7">
      <c r="B187">
        <v>296</v>
      </c>
    </row>
    <row r="188" spans="2:7">
      <c r="B188">
        <v>297</v>
      </c>
    </row>
    <row r="189" spans="2:7">
      <c r="B189">
        <v>301</v>
      </c>
    </row>
    <row r="190" spans="2:7">
      <c r="B190">
        <v>302</v>
      </c>
    </row>
    <row r="191" spans="2:7">
      <c r="B191">
        <v>305</v>
      </c>
    </row>
    <row r="192" spans="2:7">
      <c r="B192">
        <v>306</v>
      </c>
    </row>
    <row r="193" spans="2:19">
      <c r="B193">
        <v>307</v>
      </c>
    </row>
    <row r="194" spans="2:19">
      <c r="B194">
        <v>308</v>
      </c>
      <c r="M194" s="1"/>
      <c r="N194" s="1"/>
      <c r="O194" s="1"/>
      <c r="P194" s="1"/>
      <c r="Q194" s="1"/>
      <c r="R194" s="1"/>
      <c r="S194" s="1"/>
    </row>
  </sheetData>
  <sortState ref="A2:T184">
    <sortCondition ref="C2:C184"/>
  </sortState>
  <pageMargins left="0.25" right="0.25" top="0.75" bottom="0.75" header="0.3" footer="0.3"/>
  <pageSetup scale="76" fitToHeight="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94FD8-B263-774F-9CAA-24FCB7C99707}">
  <sheetPr codeName="Sheet5">
    <tabColor rgb="FFFFFF00"/>
  </sheetPr>
  <dimension ref="A1:M21"/>
  <sheetViews>
    <sheetView tabSelected="1" zoomScale="130" zoomScaleNormal="130" workbookViewId="0"/>
  </sheetViews>
  <sheetFormatPr baseColWidth="10" defaultColWidth="10.83203125" defaultRowHeight="16"/>
  <cols>
    <col min="1" max="1" width="54.5" customWidth="1"/>
    <col min="2" max="2" width="13.6640625" style="4" bestFit="1" customWidth="1"/>
    <col min="3" max="3" width="14.6640625" style="4" bestFit="1" customWidth="1"/>
    <col min="4" max="7" width="14.6640625" style="4" customWidth="1"/>
    <col min="8" max="8" width="24" style="2" customWidth="1"/>
  </cols>
  <sheetData>
    <row r="1" spans="1:13">
      <c r="A1" t="s">
        <v>668</v>
      </c>
      <c r="B1" s="4" t="b">
        <v>1</v>
      </c>
      <c r="C1" s="26" t="s">
        <v>670</v>
      </c>
    </row>
    <row r="2" spans="1:13">
      <c r="A2" t="s">
        <v>669</v>
      </c>
      <c r="B2" s="4">
        <v>1</v>
      </c>
      <c r="C2" s="26" t="s">
        <v>688</v>
      </c>
    </row>
    <row r="3" spans="1:13" ht="17">
      <c r="A3" s="50" t="s">
        <v>0</v>
      </c>
      <c r="B3" s="51" t="s">
        <v>3</v>
      </c>
      <c r="C3" s="51" t="s">
        <v>2</v>
      </c>
      <c r="D3" s="51" t="s">
        <v>58</v>
      </c>
      <c r="E3" s="51" t="s">
        <v>189</v>
      </c>
      <c r="F3" s="51" t="s">
        <v>376</v>
      </c>
      <c r="G3" s="51" t="s">
        <v>527</v>
      </c>
      <c r="H3" s="52" t="s">
        <v>4</v>
      </c>
      <c r="J3" s="53" t="s">
        <v>530</v>
      </c>
      <c r="K3" s="14"/>
      <c r="L3" s="14"/>
      <c r="M3" s="14"/>
    </row>
    <row r="4" spans="1:13" ht="15">
      <c r="A4" t="s">
        <v>674</v>
      </c>
      <c r="B4" s="4" t="s">
        <v>1</v>
      </c>
      <c r="C4" s="4" t="s">
        <v>1</v>
      </c>
      <c r="F4" s="4">
        <v>1</v>
      </c>
      <c r="H4" t="s">
        <v>675</v>
      </c>
      <c r="J4" s="53" t="s">
        <v>533</v>
      </c>
      <c r="K4" s="14"/>
      <c r="L4" s="14"/>
      <c r="M4" s="14"/>
    </row>
    <row r="5" spans="1:13" ht="15">
      <c r="A5" t="s">
        <v>676</v>
      </c>
      <c r="B5" s="4" t="s">
        <v>1</v>
      </c>
      <c r="C5" s="4" t="s">
        <v>1</v>
      </c>
      <c r="F5" s="4">
        <v>1</v>
      </c>
      <c r="H5" t="s">
        <v>675</v>
      </c>
      <c r="J5" s="53" t="s">
        <v>531</v>
      </c>
      <c r="K5" s="14"/>
      <c r="L5" s="14"/>
      <c r="M5" s="14"/>
    </row>
    <row r="6" spans="1:13" ht="15">
      <c r="H6"/>
      <c r="J6" s="53" t="s">
        <v>532</v>
      </c>
      <c r="K6" s="14"/>
      <c r="L6" s="14"/>
      <c r="M6" s="14"/>
    </row>
    <row r="7" spans="1:13" ht="15">
      <c r="H7"/>
    </row>
    <row r="8" spans="1:13" ht="15">
      <c r="H8"/>
      <c r="J8" s="53" t="s">
        <v>534</v>
      </c>
      <c r="K8" s="14"/>
      <c r="L8" s="14"/>
      <c r="M8" s="14"/>
    </row>
    <row r="9" spans="1:13" ht="15">
      <c r="H9"/>
    </row>
    <row r="10" spans="1:13" ht="15">
      <c r="H10"/>
    </row>
    <row r="11" spans="1:13" ht="15">
      <c r="H11"/>
    </row>
    <row r="12" spans="1:13" ht="15">
      <c r="H12"/>
    </row>
    <row r="13" spans="1:13" ht="15">
      <c r="H13"/>
    </row>
    <row r="14" spans="1:13" ht="15">
      <c r="H14"/>
    </row>
    <row r="15" spans="1:13" ht="15">
      <c r="H15"/>
    </row>
    <row r="16" spans="1:13" ht="15">
      <c r="H16"/>
    </row>
    <row r="17" spans="8:8" ht="15">
      <c r="H17"/>
    </row>
    <row r="18" spans="8:8" ht="15">
      <c r="H18"/>
    </row>
    <row r="19" spans="8:8" ht="15">
      <c r="H19"/>
    </row>
    <row r="20" spans="8:8" ht="15">
      <c r="H20"/>
    </row>
    <row r="21" spans="8:8" ht="15">
      <c r="H21"/>
    </row>
  </sheetData>
  <sortState ref="A4:E7">
    <sortCondition ref="B4:B7"/>
    <sortCondition ref="A4:A7"/>
  </sortState>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696F-F3B8-B84A-85A8-5C4F1200C602}">
  <dimension ref="A1:O25"/>
  <sheetViews>
    <sheetView zoomScale="125" zoomScaleNormal="125" workbookViewId="0">
      <selection activeCell="M7" sqref="M7"/>
    </sheetView>
  </sheetViews>
  <sheetFormatPr baseColWidth="10" defaultColWidth="10.83203125" defaultRowHeight="15"/>
  <cols>
    <col min="1" max="11" width="6.33203125" customWidth="1"/>
  </cols>
  <sheetData>
    <row r="1" spans="1:15">
      <c r="A1" s="54" t="s">
        <v>536</v>
      </c>
      <c r="K1" t="s">
        <v>273</v>
      </c>
    </row>
    <row r="2" spans="1:15">
      <c r="B2" t="s">
        <v>261</v>
      </c>
    </row>
    <row r="3" spans="1:15">
      <c r="B3" t="s">
        <v>323</v>
      </c>
    </row>
    <row r="5" spans="1:15">
      <c r="M5" s="53" t="s">
        <v>649</v>
      </c>
      <c r="N5" s="14"/>
      <c r="O5" s="14"/>
    </row>
    <row r="6" spans="1:15">
      <c r="B6" t="s">
        <v>322</v>
      </c>
      <c r="M6" s="53" t="s">
        <v>651</v>
      </c>
      <c r="N6" s="14"/>
      <c r="O6" s="14"/>
    </row>
    <row r="7" spans="1:15">
      <c r="B7" t="s">
        <v>325</v>
      </c>
      <c r="D7" s="43"/>
    </row>
    <row r="8" spans="1:15">
      <c r="B8" t="s">
        <v>324</v>
      </c>
    </row>
    <row r="10" spans="1:15">
      <c r="A10" s="54"/>
    </row>
    <row r="11" spans="1:15">
      <c r="A11" s="54"/>
      <c r="B11" t="s">
        <v>260</v>
      </c>
    </row>
    <row r="12" spans="1:15">
      <c r="B12" s="15" t="s">
        <v>331</v>
      </c>
      <c r="C12" s="15"/>
      <c r="M12" s="53" t="s">
        <v>650</v>
      </c>
      <c r="N12" s="14"/>
      <c r="O12" s="14"/>
    </row>
    <row r="13" spans="1:15">
      <c r="B13" s="15"/>
      <c r="C13" s="15"/>
    </row>
    <row r="15" spans="1:15">
      <c r="B15" t="s">
        <v>265</v>
      </c>
    </row>
    <row r="16" spans="1:15">
      <c r="B16" s="15" t="s">
        <v>271</v>
      </c>
    </row>
    <row r="18" spans="1:3">
      <c r="A18" s="54"/>
      <c r="B18" s="56"/>
    </row>
    <row r="19" spans="1:3">
      <c r="A19" s="54"/>
    </row>
    <row r="20" spans="1:3">
      <c r="A20" s="54"/>
    </row>
    <row r="21" spans="1:3">
      <c r="A21" s="54"/>
      <c r="C21" s="15"/>
    </row>
    <row r="22" spans="1:3">
      <c r="A22" s="54"/>
    </row>
    <row r="23" spans="1:3">
      <c r="C23" s="15"/>
    </row>
    <row r="24" spans="1:3">
      <c r="C24" s="15"/>
    </row>
    <row r="25" spans="1:3">
      <c r="C25" s="15"/>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46F8F-FCED-7B48-A04F-8BFFB0821CB1}">
  <dimension ref="A1:O69"/>
  <sheetViews>
    <sheetView topLeftCell="A43" zoomScale="125" zoomScaleNormal="125" workbookViewId="0">
      <selection activeCell="B52" sqref="B52"/>
    </sheetView>
  </sheetViews>
  <sheetFormatPr baseColWidth="10" defaultColWidth="10.83203125" defaultRowHeight="15"/>
  <cols>
    <col min="1" max="11" width="6.33203125" customWidth="1"/>
  </cols>
  <sheetData>
    <row r="1" spans="1:15">
      <c r="A1" s="54" t="s">
        <v>535</v>
      </c>
      <c r="L1" t="s">
        <v>273</v>
      </c>
    </row>
    <row r="2" spans="1:15">
      <c r="B2" t="s">
        <v>282</v>
      </c>
    </row>
    <row r="3" spans="1:15">
      <c r="A3" s="54"/>
      <c r="B3" t="s">
        <v>233</v>
      </c>
    </row>
    <row r="4" spans="1:15">
      <c r="A4" s="54"/>
      <c r="B4" t="s">
        <v>363</v>
      </c>
      <c r="L4" s="53" t="s">
        <v>649</v>
      </c>
      <c r="M4" s="14"/>
      <c r="N4" s="14"/>
    </row>
    <row r="5" spans="1:15">
      <c r="A5" s="54"/>
      <c r="L5" s="53" t="s">
        <v>651</v>
      </c>
      <c r="M5" s="14"/>
      <c r="N5" s="14"/>
    </row>
    <row r="6" spans="1:15">
      <c r="A6" s="54"/>
      <c r="B6" t="s">
        <v>332</v>
      </c>
    </row>
    <row r="7" spans="1:15">
      <c r="A7" s="54"/>
      <c r="C7" t="s">
        <v>246</v>
      </c>
      <c r="L7" s="53" t="s">
        <v>652</v>
      </c>
      <c r="M7" s="14"/>
      <c r="N7" s="14"/>
      <c r="O7" s="14"/>
    </row>
    <row r="8" spans="1:15">
      <c r="A8" s="54"/>
      <c r="C8" t="s">
        <v>333</v>
      </c>
      <c r="M8" s="55"/>
    </row>
    <row r="9" spans="1:15">
      <c r="A9" s="54"/>
      <c r="C9" t="s">
        <v>334</v>
      </c>
      <c r="M9" s="55"/>
    </row>
    <row r="10" spans="1:15">
      <c r="A10" s="54"/>
      <c r="C10" t="s">
        <v>537</v>
      </c>
      <c r="L10" s="53" t="s">
        <v>653</v>
      </c>
      <c r="M10" s="14"/>
      <c r="N10" s="14"/>
    </row>
    <row r="11" spans="1:15">
      <c r="A11" s="54"/>
      <c r="C11" t="s">
        <v>246</v>
      </c>
      <c r="M11" s="55"/>
    </row>
    <row r="12" spans="1:15">
      <c r="A12" s="54"/>
      <c r="C12" t="s">
        <v>335</v>
      </c>
      <c r="M12" s="55"/>
    </row>
    <row r="13" spans="1:15">
      <c r="A13" s="54"/>
      <c r="C13" t="s">
        <v>336</v>
      </c>
      <c r="M13" s="55"/>
    </row>
    <row r="14" spans="1:15">
      <c r="A14" s="54"/>
      <c r="D14" t="s">
        <v>337</v>
      </c>
      <c r="M14" s="55"/>
    </row>
    <row r="15" spans="1:15">
      <c r="A15" s="54"/>
      <c r="C15" t="s">
        <v>338</v>
      </c>
      <c r="M15" s="55"/>
    </row>
    <row r="16" spans="1:15">
      <c r="A16" s="54"/>
      <c r="D16" t="s">
        <v>343</v>
      </c>
      <c r="M16" s="55"/>
    </row>
    <row r="17" spans="1:13">
      <c r="A17" s="54"/>
      <c r="C17" t="s">
        <v>339</v>
      </c>
      <c r="M17" s="55"/>
    </row>
    <row r="18" spans="1:13">
      <c r="A18" s="54"/>
      <c r="D18" t="s">
        <v>342</v>
      </c>
      <c r="M18" s="55"/>
    </row>
    <row r="19" spans="1:13">
      <c r="A19" s="54"/>
      <c r="C19" t="s">
        <v>252</v>
      </c>
      <c r="M19" s="55"/>
    </row>
    <row r="20" spans="1:13">
      <c r="A20" s="54"/>
      <c r="D20" t="s">
        <v>341</v>
      </c>
      <c r="M20" s="55"/>
    </row>
    <row r="21" spans="1:13">
      <c r="A21" s="54"/>
      <c r="C21" t="s">
        <v>340</v>
      </c>
      <c r="M21" s="55"/>
    </row>
    <row r="22" spans="1:13">
      <c r="A22" s="54"/>
      <c r="M22" s="55"/>
    </row>
    <row r="23" spans="1:13">
      <c r="A23" s="54"/>
      <c r="B23" t="s">
        <v>347</v>
      </c>
      <c r="M23" s="55"/>
    </row>
    <row r="24" spans="1:13">
      <c r="A24" s="54"/>
      <c r="C24" t="s">
        <v>329</v>
      </c>
      <c r="M24" s="55"/>
    </row>
    <row r="25" spans="1:13">
      <c r="A25" s="54"/>
      <c r="C25" t="s">
        <v>348</v>
      </c>
      <c r="M25" s="55"/>
    </row>
    <row r="26" spans="1:13">
      <c r="A26" s="54"/>
      <c r="D26" t="s">
        <v>349</v>
      </c>
      <c r="M26" s="55"/>
    </row>
    <row r="27" spans="1:13">
      <c r="A27" s="54"/>
      <c r="C27" t="s">
        <v>350</v>
      </c>
      <c r="M27" s="55"/>
    </row>
    <row r="28" spans="1:13">
      <c r="A28" s="54"/>
      <c r="D28" t="s">
        <v>351</v>
      </c>
      <c r="M28" s="55"/>
    </row>
    <row r="29" spans="1:13">
      <c r="A29" s="54"/>
      <c r="C29" t="s">
        <v>352</v>
      </c>
      <c r="M29" s="55"/>
    </row>
    <row r="30" spans="1:13">
      <c r="A30" s="54"/>
      <c r="D30" t="s">
        <v>353</v>
      </c>
      <c r="M30" s="55"/>
    </row>
    <row r="31" spans="1:13">
      <c r="A31" s="54"/>
      <c r="C31" t="s">
        <v>354</v>
      </c>
      <c r="M31" s="55"/>
    </row>
    <row r="32" spans="1:13">
      <c r="A32" s="54"/>
      <c r="M32" s="55"/>
    </row>
    <row r="33" spans="2:2">
      <c r="B33" t="s">
        <v>232</v>
      </c>
    </row>
    <row r="36" spans="2:2">
      <c r="B36" t="s">
        <v>355</v>
      </c>
    </row>
    <row r="38" spans="2:2">
      <c r="B38" t="s">
        <v>328</v>
      </c>
    </row>
    <row r="39" spans="2:2">
      <c r="B39" t="s">
        <v>356</v>
      </c>
    </row>
    <row r="41" spans="2:2">
      <c r="B41" t="s">
        <v>254</v>
      </c>
    </row>
    <row r="42" spans="2:2">
      <c r="B42" t="s">
        <v>255</v>
      </c>
    </row>
    <row r="43" spans="2:2">
      <c r="B43" t="s">
        <v>253</v>
      </c>
    </row>
    <row r="44" spans="2:2">
      <c r="B44" t="s">
        <v>256</v>
      </c>
    </row>
    <row r="47" spans="2:2">
      <c r="B47" t="s">
        <v>529</v>
      </c>
    </row>
    <row r="48" spans="2:2">
      <c r="B48" t="s">
        <v>683</v>
      </c>
    </row>
    <row r="50" spans="2:2">
      <c r="B50" t="s">
        <v>528</v>
      </c>
    </row>
    <row r="51" spans="2:2">
      <c r="B51" t="s">
        <v>684</v>
      </c>
    </row>
    <row r="54" spans="2:2">
      <c r="B54" t="s">
        <v>257</v>
      </c>
    </row>
    <row r="55" spans="2:2">
      <c r="B55" t="s">
        <v>330</v>
      </c>
    </row>
    <row r="56" spans="2:2">
      <c r="B56" t="s">
        <v>357</v>
      </c>
    </row>
    <row r="59" spans="2:2">
      <c r="B59" t="s">
        <v>358</v>
      </c>
    </row>
    <row r="60" spans="2:2">
      <c r="B60" t="s">
        <v>359</v>
      </c>
    </row>
    <row r="62" spans="2:2">
      <c r="B62" t="s">
        <v>360</v>
      </c>
    </row>
    <row r="63" spans="2:2">
      <c r="B63" t="s">
        <v>361</v>
      </c>
    </row>
    <row r="66" spans="2:2">
      <c r="B66" t="s">
        <v>663</v>
      </c>
    </row>
    <row r="67" spans="2:2">
      <c r="B67" t="s">
        <v>682</v>
      </c>
    </row>
    <row r="68" spans="2:2">
      <c r="B68" t="s">
        <v>681</v>
      </c>
    </row>
    <row r="69" spans="2:2">
      <c r="B69" t="s">
        <v>673</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D6F65-828C-B146-BCDC-1A98A17970F9}">
  <dimension ref="A1:L71"/>
  <sheetViews>
    <sheetView topLeftCell="A51" zoomScale="125" zoomScaleNormal="125" workbookViewId="0">
      <selection activeCell="F63" sqref="F63"/>
    </sheetView>
  </sheetViews>
  <sheetFormatPr baseColWidth="10" defaultColWidth="10.83203125" defaultRowHeight="15"/>
  <sheetData>
    <row r="1" spans="1:12">
      <c r="A1" t="s">
        <v>287</v>
      </c>
    </row>
    <row r="2" spans="1:12">
      <c r="B2" t="s">
        <v>316</v>
      </c>
    </row>
    <row r="3" spans="1:12">
      <c r="B3" t="s">
        <v>317</v>
      </c>
    </row>
    <row r="4" spans="1:12">
      <c r="B4" t="s">
        <v>445</v>
      </c>
    </row>
    <row r="5" spans="1:12">
      <c r="B5" t="s">
        <v>315</v>
      </c>
    </row>
    <row r="6" spans="1:12">
      <c r="I6" s="53" t="s">
        <v>649</v>
      </c>
      <c r="J6" s="14"/>
      <c r="K6" s="14"/>
    </row>
    <row r="7" spans="1:12">
      <c r="B7" t="s">
        <v>292</v>
      </c>
      <c r="I7" s="53" t="s">
        <v>651</v>
      </c>
      <c r="J7" s="14"/>
      <c r="K7" s="14"/>
    </row>
    <row r="8" spans="1:12">
      <c r="I8" s="53" t="s">
        <v>654</v>
      </c>
      <c r="J8" s="14"/>
      <c r="K8" s="14"/>
    </row>
    <row r="9" spans="1:12">
      <c r="B9" t="s">
        <v>293</v>
      </c>
    </row>
    <row r="10" spans="1:12">
      <c r="B10" t="s">
        <v>294</v>
      </c>
      <c r="I10" s="53" t="s">
        <v>655</v>
      </c>
      <c r="J10" s="14"/>
      <c r="K10" s="14"/>
    </row>
    <row r="11" spans="1:12">
      <c r="B11" t="s">
        <v>295</v>
      </c>
      <c r="I11" s="53" t="s">
        <v>656</v>
      </c>
      <c r="J11" s="14"/>
      <c r="K11" s="14"/>
      <c r="L11" s="14"/>
    </row>
    <row r="12" spans="1:12">
      <c r="I12" s="53" t="s">
        <v>657</v>
      </c>
      <c r="J12" s="14"/>
      <c r="K12" s="14"/>
      <c r="L12" s="14"/>
    </row>
    <row r="13" spans="1:12">
      <c r="B13" t="s">
        <v>296</v>
      </c>
    </row>
    <row r="14" spans="1:12">
      <c r="C14" t="s">
        <v>318</v>
      </c>
    </row>
    <row r="15" spans="1:12">
      <c r="C15" t="s">
        <v>319</v>
      </c>
    </row>
    <row r="16" spans="1:12">
      <c r="C16" t="s">
        <v>297</v>
      </c>
    </row>
    <row r="17" spans="2:5">
      <c r="E17" t="s">
        <v>298</v>
      </c>
    </row>
    <row r="19" spans="2:5">
      <c r="B19" t="s">
        <v>299</v>
      </c>
    </row>
    <row r="20" spans="2:5">
      <c r="C20" t="s">
        <v>320</v>
      </c>
    </row>
    <row r="21" spans="2:5">
      <c r="C21" t="s">
        <v>300</v>
      </c>
    </row>
    <row r="22" spans="2:5">
      <c r="E22" t="s">
        <v>301</v>
      </c>
    </row>
    <row r="23" spans="2:5">
      <c r="E23" t="s">
        <v>302</v>
      </c>
    </row>
    <row r="25" spans="2:5">
      <c r="B25" t="s">
        <v>303</v>
      </c>
    </row>
    <row r="26" spans="2:5">
      <c r="C26" t="s">
        <v>321</v>
      </c>
    </row>
    <row r="27" spans="2:5">
      <c r="C27" t="s">
        <v>300</v>
      </c>
    </row>
    <row r="28" spans="2:5">
      <c r="D28" t="s">
        <v>304</v>
      </c>
    </row>
    <row r="29" spans="2:5">
      <c r="C29" t="s">
        <v>305</v>
      </c>
    </row>
    <row r="33" spans="2:3">
      <c r="B33" t="s">
        <v>306</v>
      </c>
    </row>
    <row r="34" spans="2:3">
      <c r="B34" t="s">
        <v>309</v>
      </c>
    </row>
    <row r="37" spans="2:3">
      <c r="B37" t="s">
        <v>312</v>
      </c>
    </row>
    <row r="38" spans="2:3">
      <c r="B38" t="s">
        <v>310</v>
      </c>
    </row>
    <row r="40" spans="2:3">
      <c r="B40" t="s">
        <v>313</v>
      </c>
    </row>
    <row r="41" spans="2:3">
      <c r="B41" t="s">
        <v>311</v>
      </c>
    </row>
    <row r="45" spans="2:3">
      <c r="B45" t="s">
        <v>237</v>
      </c>
    </row>
    <row r="46" spans="2:3">
      <c r="B46" t="s">
        <v>236</v>
      </c>
      <c r="C46" s="57"/>
    </row>
    <row r="48" spans="2:3">
      <c r="B48" t="s">
        <v>314</v>
      </c>
    </row>
    <row r="49" spans="2:3">
      <c r="B49" t="s">
        <v>307</v>
      </c>
    </row>
    <row r="50" spans="2:3">
      <c r="B50" s="14" t="s">
        <v>308</v>
      </c>
    </row>
    <row r="53" spans="2:3">
      <c r="B53" t="s">
        <v>259</v>
      </c>
    </row>
    <row r="56" spans="2:3">
      <c r="B56" t="s">
        <v>238</v>
      </c>
    </row>
    <row r="57" spans="2:3">
      <c r="B57" t="s">
        <v>239</v>
      </c>
      <c r="C57" s="58"/>
    </row>
    <row r="58" spans="2:3">
      <c r="B58" t="s">
        <v>240</v>
      </c>
    </row>
    <row r="59" spans="2:3">
      <c r="B59" t="s">
        <v>241</v>
      </c>
    </row>
    <row r="60" spans="2:3">
      <c r="B60" t="s">
        <v>244</v>
      </c>
    </row>
    <row r="61" spans="2:3">
      <c r="B61" t="s">
        <v>245</v>
      </c>
    </row>
    <row r="64" spans="2:3">
      <c r="B64" t="s">
        <v>687</v>
      </c>
    </row>
    <row r="67" spans="2:8">
      <c r="B67" t="s">
        <v>525</v>
      </c>
    </row>
    <row r="68" spans="2:8">
      <c r="B68" t="s">
        <v>672</v>
      </c>
    </row>
    <row r="69" spans="2:8">
      <c r="B69" s="14" t="s">
        <v>671</v>
      </c>
      <c r="C69" s="14"/>
      <c r="D69" s="14"/>
      <c r="E69" s="14"/>
      <c r="F69" s="14"/>
      <c r="G69" s="14"/>
      <c r="H69" s="14"/>
    </row>
    <row r="71" spans="2:8">
      <c r="B71" s="59"/>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C10A-D2D3-0A4D-9DF9-6ED7B41DA5A5}">
  <dimension ref="A1:C4"/>
  <sheetViews>
    <sheetView workbookViewId="0"/>
  </sheetViews>
  <sheetFormatPr baseColWidth="10" defaultColWidth="10.83203125" defaultRowHeight="15"/>
  <sheetData>
    <row r="1" spans="1:3">
      <c r="A1" s="3" t="s">
        <v>5</v>
      </c>
      <c r="B1" s="3" t="s">
        <v>11</v>
      </c>
    </row>
    <row r="2" spans="1:3">
      <c r="A2" t="s">
        <v>268</v>
      </c>
      <c r="B2" s="15">
        <v>23847</v>
      </c>
      <c r="C2" t="s">
        <v>269</v>
      </c>
    </row>
    <row r="3" spans="1:3">
      <c r="A3" t="s">
        <v>272</v>
      </c>
      <c r="B3">
        <v>23806</v>
      </c>
    </row>
    <row r="4" spans="1:3">
      <c r="A4" t="s">
        <v>374</v>
      </c>
      <c r="B4">
        <v>23321</v>
      </c>
    </row>
  </sheetData>
  <pageMargins left="0.7" right="0.7" top="0.75" bottom="0.75" header="0.3" footer="0.3"/>
  <pageSetup orientation="portrait" horizontalDpi="0" verticalDpi="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212E-A3A7-4D4E-A5C7-EA3C7F2BFA3B}">
  <dimension ref="A1:E3"/>
  <sheetViews>
    <sheetView workbookViewId="0"/>
  </sheetViews>
  <sheetFormatPr baseColWidth="10" defaultColWidth="10.83203125" defaultRowHeight="16"/>
  <cols>
    <col min="1" max="1" width="10.83203125" style="31"/>
    <col min="2" max="2" width="94" style="31" bestFit="1" customWidth="1"/>
    <col min="3" max="3" width="87.6640625" style="31" customWidth="1"/>
    <col min="4" max="16384" width="10.83203125" style="31"/>
  </cols>
  <sheetData>
    <row r="1" spans="1:5" s="30" customFormat="1">
      <c r="A1" s="30" t="s">
        <v>214</v>
      </c>
      <c r="B1" s="30" t="s">
        <v>215</v>
      </c>
      <c r="C1" s="30" t="s">
        <v>216</v>
      </c>
      <c r="D1" s="30" t="s">
        <v>217</v>
      </c>
      <c r="E1" s="30" t="s">
        <v>218</v>
      </c>
    </row>
    <row r="2" spans="1:5">
      <c r="A2" s="40" t="s">
        <v>1</v>
      </c>
      <c r="B2" s="40" t="s">
        <v>327</v>
      </c>
      <c r="C2" s="40" t="s">
        <v>326</v>
      </c>
    </row>
    <row r="3" spans="1:5">
      <c r="A3" s="37"/>
      <c r="B3" s="38" t="s">
        <v>291</v>
      </c>
      <c r="C3" s="36" t="s">
        <v>281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7440C-D790-5447-AAE1-4226C1A705A2}">
  <dimension ref="A1:C40"/>
  <sheetViews>
    <sheetView workbookViewId="0">
      <selection activeCell="C21" sqref="C21"/>
    </sheetView>
  </sheetViews>
  <sheetFormatPr baseColWidth="10" defaultColWidth="10.83203125" defaultRowHeight="15" outlineLevelRow="1"/>
  <cols>
    <col min="2" max="2" width="46.6640625" customWidth="1"/>
    <col min="3" max="3" width="147.33203125" customWidth="1"/>
  </cols>
  <sheetData>
    <row r="1" spans="1:3" ht="26">
      <c r="A1" s="46" t="s">
        <v>422</v>
      </c>
    </row>
    <row r="3" spans="1:3" ht="18">
      <c r="B3" s="47" t="s">
        <v>416</v>
      </c>
    </row>
    <row r="4" spans="1:3" ht="18">
      <c r="B4" s="47"/>
    </row>
    <row r="5" spans="1:3" ht="18">
      <c r="A5" s="44"/>
      <c r="B5" s="45" t="s">
        <v>436</v>
      </c>
      <c r="C5" t="s">
        <v>417</v>
      </c>
    </row>
    <row r="6" spans="1:3">
      <c r="B6" s="17" t="s">
        <v>433</v>
      </c>
      <c r="C6" s="48" t="s">
        <v>438</v>
      </c>
    </row>
    <row r="7" spans="1:3">
      <c r="B7" s="17"/>
      <c r="C7" t="str">
        <f>IF(ISERROR(FIND(".",C6)),"","^^^   Path copied above should not contain file name   ^^^")</f>
        <v/>
      </c>
    </row>
    <row r="8" spans="1:3">
      <c r="B8" s="17"/>
    </row>
    <row r="10" spans="1:3" ht="32">
      <c r="B10" s="45" t="s">
        <v>423</v>
      </c>
      <c r="C10" s="48" t="s">
        <v>421</v>
      </c>
    </row>
    <row r="12" spans="1:3" hidden="1" outlineLevel="1">
      <c r="B12" t="s">
        <v>418</v>
      </c>
      <c r="C12" s="26">
        <f>SEARCH($C$10,$C$6)</f>
        <v>71</v>
      </c>
    </row>
    <row r="13" spans="1:3" hidden="1" outlineLevel="1">
      <c r="B13" t="s">
        <v>419</v>
      </c>
      <c r="C13" t="str">
        <f>"**/" &amp; RIGHT($C$6,LEN($C$6)-$C$12+1)</f>
        <v>**/Campaigns/GA Runoff GOTV 11-2022/Output/GA-Worth</v>
      </c>
    </row>
    <row r="14" spans="1:3" hidden="1" outlineLevel="1">
      <c r="B14" t="s">
        <v>420</v>
      </c>
      <c r="C14" t="str">
        <f>RIGHT($C$13,LEN($C$13)-FIND("|",SUBSTITUTE($C$13,"-","|",
     LEN($C$13)-LEN(SUBSTITUTE($C$13,"-","")))))</f>
        <v>Worth</v>
      </c>
    </row>
    <row r="15" spans="1:3" collapsed="1"/>
    <row r="16" spans="1:3">
      <c r="B16" s="17" t="s">
        <v>428</v>
      </c>
      <c r="C16" s="49" t="str">
        <f>LEFT($C$13,LEN($C$13)-LEN($C$14)) &amp; "[filename]/*.pdf"</f>
        <v>**/Campaigns/GA Runoff GOTV 11-2022/Output/GA-[filename]/*.pdf</v>
      </c>
    </row>
    <row r="17" spans="2:3">
      <c r="B17" s="17" t="s">
        <v>434</v>
      </c>
      <c r="C17" t="s">
        <v>432</v>
      </c>
    </row>
    <row r="21" spans="2:3" ht="18">
      <c r="B21" s="47" t="s">
        <v>424</v>
      </c>
    </row>
    <row r="22" spans="2:3" ht="18">
      <c r="B22" s="47"/>
    </row>
    <row r="23" spans="2:3">
      <c r="B23" s="17" t="s">
        <v>437</v>
      </c>
      <c r="C23" t="s">
        <v>425</v>
      </c>
    </row>
    <row r="24" spans="2:3">
      <c r="B24" s="17" t="s">
        <v>435</v>
      </c>
      <c r="C24" s="48" t="s">
        <v>439</v>
      </c>
    </row>
    <row r="27" spans="2:3" ht="32">
      <c r="B27" s="45" t="s">
        <v>426</v>
      </c>
      <c r="C27" s="48" t="s">
        <v>421</v>
      </c>
    </row>
    <row r="29" spans="2:3">
      <c r="C29" t="str">
        <f>IF(ISERROR(FIND(C30,C24)),"VVV     Entered county below not found in path (case?)    VVV","")</f>
        <v/>
      </c>
    </row>
    <row r="30" spans="2:3" ht="32">
      <c r="B30" s="45" t="s">
        <v>430</v>
      </c>
      <c r="C30" s="48" t="s">
        <v>440</v>
      </c>
    </row>
    <row r="31" spans="2:3">
      <c r="B31" s="45"/>
    </row>
    <row r="32" spans="2:3">
      <c r="B32" s="45"/>
    </row>
    <row r="33" spans="2:3" hidden="1" outlineLevel="1"/>
    <row r="34" spans="2:3" hidden="1" outlineLevel="1">
      <c r="B34" t="s">
        <v>418</v>
      </c>
      <c r="C34" s="26">
        <f>SEARCH($C$27,$C$24)</f>
        <v>70</v>
      </c>
    </row>
    <row r="35" spans="2:3" hidden="1" outlineLevel="1">
      <c r="B35" t="s">
        <v>419</v>
      </c>
      <c r="C35" t="str">
        <f>"**/" &amp; RIGHT($C$24,LEN($C$24)-$C$34+1)</f>
        <v>**/Campaigns/FL Primary GOTV 5-2022/Original/Split/FL-Calhoun Primary GOTV 5-2022.csv</v>
      </c>
    </row>
    <row r="36" spans="2:3" hidden="1" outlineLevel="1">
      <c r="B36" t="s">
        <v>427</v>
      </c>
      <c r="C36" t="str">
        <f>SUBSTITUTE($C$35,$C$30,"[filename]",1)</f>
        <v>**/Campaigns/FL Primary GOTV 5-2022/Original/Split/FL-[filename] Primary GOTV 5-2022.csv</v>
      </c>
    </row>
    <row r="37" spans="2:3" hidden="1" outlineLevel="1"/>
    <row r="38" spans="2:3" collapsed="1"/>
    <row r="39" spans="2:3">
      <c r="B39" s="17" t="s">
        <v>429</v>
      </c>
      <c r="C39" s="49" t="str">
        <f>SUBSTITUTE($C$36,".csv","[filecounter].csv",1)</f>
        <v>**/Campaigns/FL Primary GOTV 5-2022/Original/Split/FL-[filename] Primary GOTV 5-2022[filecounter].csv</v>
      </c>
    </row>
    <row r="40" spans="2:3">
      <c r="B40" s="17" t="s">
        <v>434</v>
      </c>
      <c r="C40" t="s">
        <v>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8E07D-0BC6-0144-BB08-5D758144002B}">
  <sheetPr>
    <pageSetUpPr fitToPage="1"/>
  </sheetPr>
  <dimension ref="A1:M149"/>
  <sheetViews>
    <sheetView zoomScaleNormal="100" workbookViewId="0">
      <pane xSplit="3" ySplit="9" topLeftCell="D10" activePane="bottomRight" state="frozen"/>
      <selection pane="topRight" activeCell="D1" sqref="D1"/>
      <selection pane="bottomLeft" activeCell="A8" sqref="A8"/>
      <selection pane="bottomRight" activeCell="A10" sqref="A10"/>
    </sheetView>
  </sheetViews>
  <sheetFormatPr baseColWidth="10" defaultColWidth="10.83203125" defaultRowHeight="15"/>
  <cols>
    <col min="1" max="1" width="24.1640625" customWidth="1"/>
    <col min="2" max="2" width="10.1640625" customWidth="1"/>
    <col min="3" max="3" width="11" customWidth="1"/>
    <col min="4" max="4" width="77.83203125" bestFit="1" customWidth="1"/>
    <col min="5" max="5" width="10.83203125" customWidth="1"/>
    <col min="6" max="6" width="9.6640625" customWidth="1"/>
    <col min="7" max="7" width="10.83203125" style="4"/>
    <col min="8" max="8" width="11" customWidth="1"/>
    <col min="9" max="9" width="9.1640625" style="4" customWidth="1"/>
  </cols>
  <sheetData>
    <row r="1" spans="1:13">
      <c r="A1" t="s">
        <v>169</v>
      </c>
      <c r="E1" s="24"/>
      <c r="F1" s="24"/>
      <c r="H1" s="15"/>
      <c r="I1" s="29"/>
    </row>
    <row r="2" spans="1:13" ht="26">
      <c r="A2" s="17" t="s">
        <v>170</v>
      </c>
      <c r="B2" s="23" t="str">
        <f>Setup!G5</f>
        <v>GA Primary, CD 6 &amp; 13, BIPOC voters</v>
      </c>
      <c r="C2" s="23"/>
    </row>
    <row r="3" spans="1:13">
      <c r="C3" s="17" t="s">
        <v>264</v>
      </c>
      <c r="D3" t="str">
        <f>Setup!$G$14</f>
        <v>Primary 1-2024</v>
      </c>
    </row>
    <row r="4" spans="1:13">
      <c r="B4" s="9"/>
      <c r="C4" s="33" t="s">
        <v>369</v>
      </c>
      <c r="D4" s="18" t="s">
        <v>381</v>
      </c>
    </row>
    <row r="5" spans="1:13">
      <c r="B5" s="9"/>
      <c r="C5" s="33" t="s">
        <v>274</v>
      </c>
      <c r="D5" s="18" t="s">
        <v>380</v>
      </c>
      <c r="E5" t="s">
        <v>368</v>
      </c>
      <c r="J5" s="15"/>
    </row>
    <row r="6" spans="1:13">
      <c r="A6" s="17"/>
      <c r="B6" s="9"/>
      <c r="C6" s="33" t="s">
        <v>275</v>
      </c>
      <c r="D6" s="18" t="s">
        <v>377</v>
      </c>
      <c r="E6" s="18" t="s">
        <v>367</v>
      </c>
      <c r="I6" s="26"/>
    </row>
    <row r="7" spans="1:13">
      <c r="A7" s="17"/>
      <c r="B7" s="9"/>
      <c r="C7" s="33" t="s">
        <v>366</v>
      </c>
      <c r="D7" s="18" t="s">
        <v>378</v>
      </c>
      <c r="E7" s="18" t="s">
        <v>379</v>
      </c>
    </row>
    <row r="8" spans="1:13">
      <c r="B8" s="19">
        <f>SUM(B10:B787)</f>
        <v>48615</v>
      </c>
    </row>
    <row r="9" spans="1:13" ht="48">
      <c r="A9" s="3" t="s">
        <v>344</v>
      </c>
      <c r="B9" s="3" t="s">
        <v>171</v>
      </c>
      <c r="C9" s="3" t="s">
        <v>345</v>
      </c>
      <c r="D9" s="22" t="s">
        <v>415</v>
      </c>
      <c r="E9" s="22" t="s">
        <v>197</v>
      </c>
      <c r="F9" s="22" t="s">
        <v>213</v>
      </c>
      <c r="G9" s="22" t="s">
        <v>198</v>
      </c>
      <c r="H9" s="22" t="s">
        <v>371</v>
      </c>
      <c r="I9" s="22" t="s">
        <v>370</v>
      </c>
      <c r="J9" s="22" t="s">
        <v>199</v>
      </c>
      <c r="K9" s="3" t="s">
        <v>200</v>
      </c>
      <c r="L9" s="3" t="s">
        <v>172</v>
      </c>
      <c r="M9" s="25"/>
    </row>
    <row r="10" spans="1:13">
      <c r="A10" t="s">
        <v>382</v>
      </c>
      <c r="B10" s="24">
        <v>29</v>
      </c>
      <c r="D10" s="41" t="s">
        <v>1</v>
      </c>
      <c r="E10" s="29">
        <v>29</v>
      </c>
      <c r="F10" s="29">
        <f t="shared" ref="F10:F25" si="0">IF(ISNUMBER(E10),B10-E10,"-")</f>
        <v>0</v>
      </c>
      <c r="G10" s="4" t="s">
        <v>1</v>
      </c>
      <c r="H10" s="4" t="s">
        <v>1</v>
      </c>
      <c r="I10" s="4" t="s">
        <v>1</v>
      </c>
    </row>
    <row r="11" spans="1:13">
      <c r="A11" t="s">
        <v>364</v>
      </c>
      <c r="B11">
        <v>6799</v>
      </c>
      <c r="E11">
        <v>6799</v>
      </c>
      <c r="F11" s="29">
        <f t="shared" si="0"/>
        <v>0</v>
      </c>
      <c r="G11" s="4" t="s">
        <v>1</v>
      </c>
      <c r="H11" s="4" t="s">
        <v>1</v>
      </c>
      <c r="I11" s="4" t="s">
        <v>1</v>
      </c>
    </row>
    <row r="12" spans="1:13">
      <c r="A12" t="s">
        <v>384</v>
      </c>
      <c r="B12">
        <v>10678</v>
      </c>
      <c r="E12">
        <v>10678</v>
      </c>
      <c r="F12" s="29">
        <f t="shared" si="0"/>
        <v>0</v>
      </c>
      <c r="G12" s="4" t="s">
        <v>1</v>
      </c>
      <c r="H12" s="4" t="s">
        <v>1</v>
      </c>
      <c r="I12" s="4" t="s">
        <v>1</v>
      </c>
    </row>
    <row r="13" spans="1:13">
      <c r="A13" t="s">
        <v>441</v>
      </c>
      <c r="B13">
        <v>1208</v>
      </c>
      <c r="E13">
        <v>1208</v>
      </c>
      <c r="F13" s="29">
        <f t="shared" si="0"/>
        <v>0</v>
      </c>
      <c r="G13" s="4" t="s">
        <v>1</v>
      </c>
      <c r="H13" s="4" t="s">
        <v>1</v>
      </c>
      <c r="I13" s="4" t="s">
        <v>1</v>
      </c>
    </row>
    <row r="14" spans="1:13">
      <c r="A14" t="s">
        <v>385</v>
      </c>
      <c r="B14">
        <v>187</v>
      </c>
      <c r="E14">
        <v>187</v>
      </c>
      <c r="F14" s="29">
        <f t="shared" si="0"/>
        <v>0</v>
      </c>
      <c r="G14" s="4" t="s">
        <v>1</v>
      </c>
      <c r="H14" s="4" t="s">
        <v>1</v>
      </c>
      <c r="I14" s="4" t="s">
        <v>1</v>
      </c>
    </row>
    <row r="15" spans="1:13">
      <c r="A15" t="s">
        <v>386</v>
      </c>
      <c r="B15">
        <v>35</v>
      </c>
      <c r="E15">
        <v>35</v>
      </c>
      <c r="F15" s="29">
        <f t="shared" si="0"/>
        <v>0</v>
      </c>
      <c r="G15" s="4" t="s">
        <v>1</v>
      </c>
      <c r="H15" s="4" t="s">
        <v>1</v>
      </c>
      <c r="I15" s="4" t="s">
        <v>1</v>
      </c>
    </row>
    <row r="16" spans="1:13">
      <c r="A16" t="s">
        <v>442</v>
      </c>
      <c r="B16">
        <v>6876</v>
      </c>
      <c r="E16">
        <v>6876</v>
      </c>
      <c r="F16" s="29">
        <f t="shared" si="0"/>
        <v>0</v>
      </c>
      <c r="G16" s="4" t="s">
        <v>1</v>
      </c>
      <c r="H16" s="4" t="s">
        <v>1</v>
      </c>
      <c r="I16" s="4" t="s">
        <v>1</v>
      </c>
    </row>
    <row r="17" spans="1:9">
      <c r="A17" t="s">
        <v>390</v>
      </c>
      <c r="B17">
        <v>12</v>
      </c>
      <c r="E17">
        <v>12</v>
      </c>
      <c r="F17" s="29">
        <f t="shared" si="0"/>
        <v>0</v>
      </c>
      <c r="G17" s="4" t="s">
        <v>1</v>
      </c>
      <c r="H17" s="4" t="s">
        <v>1</v>
      </c>
      <c r="I17" s="4" t="s">
        <v>1</v>
      </c>
    </row>
    <row r="18" spans="1:9">
      <c r="A18" t="s">
        <v>393</v>
      </c>
      <c r="B18">
        <v>117</v>
      </c>
      <c r="E18">
        <v>117</v>
      </c>
      <c r="F18" s="29">
        <f t="shared" si="0"/>
        <v>0</v>
      </c>
      <c r="G18" s="4" t="s">
        <v>1</v>
      </c>
      <c r="H18" s="4" t="s">
        <v>1</v>
      </c>
      <c r="I18" s="4" t="s">
        <v>1</v>
      </c>
    </row>
    <row r="19" spans="1:9">
      <c r="A19" t="s">
        <v>394</v>
      </c>
      <c r="B19">
        <v>4277</v>
      </c>
      <c r="E19">
        <v>4277</v>
      </c>
      <c r="F19" s="29">
        <f t="shared" si="0"/>
        <v>0</v>
      </c>
      <c r="G19" s="4" t="s">
        <v>1</v>
      </c>
      <c r="H19" s="4" t="s">
        <v>1</v>
      </c>
      <c r="I19" s="4" t="s">
        <v>1</v>
      </c>
    </row>
    <row r="20" spans="1:9">
      <c r="A20" t="s">
        <v>443</v>
      </c>
      <c r="B20">
        <v>717</v>
      </c>
      <c r="E20">
        <v>717</v>
      </c>
      <c r="F20" s="29">
        <f t="shared" si="0"/>
        <v>0</v>
      </c>
      <c r="G20" s="4" t="s">
        <v>1</v>
      </c>
      <c r="H20" s="4" t="s">
        <v>1</v>
      </c>
      <c r="I20" s="4" t="s">
        <v>1</v>
      </c>
    </row>
    <row r="21" spans="1:9">
      <c r="A21" t="s">
        <v>406</v>
      </c>
      <c r="B21">
        <v>16720</v>
      </c>
      <c r="E21">
        <v>16720</v>
      </c>
      <c r="F21" s="29">
        <f t="shared" si="0"/>
        <v>0</v>
      </c>
      <c r="G21" s="4" t="s">
        <v>1</v>
      </c>
      <c r="H21" s="4" t="s">
        <v>1</v>
      </c>
      <c r="I21" s="4" t="s">
        <v>1</v>
      </c>
    </row>
    <row r="22" spans="1:9">
      <c r="A22" t="s">
        <v>408</v>
      </c>
      <c r="B22">
        <v>10</v>
      </c>
      <c r="E22">
        <v>10</v>
      </c>
      <c r="F22" s="29">
        <f t="shared" si="0"/>
        <v>0</v>
      </c>
      <c r="G22" s="4" t="s">
        <v>1</v>
      </c>
      <c r="H22" s="4" t="s">
        <v>1</v>
      </c>
      <c r="I22" s="4" t="s">
        <v>1</v>
      </c>
    </row>
    <row r="23" spans="1:9">
      <c r="A23" t="s">
        <v>374</v>
      </c>
      <c r="B23">
        <v>56</v>
      </c>
      <c r="E23">
        <v>56</v>
      </c>
      <c r="F23" s="29">
        <f t="shared" si="0"/>
        <v>0</v>
      </c>
      <c r="G23" s="4" t="s">
        <v>1</v>
      </c>
      <c r="H23" s="4" t="s">
        <v>1</v>
      </c>
      <c r="I23" s="4" t="s">
        <v>1</v>
      </c>
    </row>
    <row r="24" spans="1:9">
      <c r="A24" t="s">
        <v>444</v>
      </c>
      <c r="B24">
        <v>889</v>
      </c>
      <c r="E24">
        <v>889</v>
      </c>
      <c r="F24" s="29">
        <f t="shared" si="0"/>
        <v>0</v>
      </c>
      <c r="G24" s="4" t="s">
        <v>1</v>
      </c>
      <c r="H24" s="4" t="s">
        <v>1</v>
      </c>
      <c r="I24" s="4" t="s">
        <v>1</v>
      </c>
    </row>
    <row r="25" spans="1:9">
      <c r="A25" t="s">
        <v>413</v>
      </c>
      <c r="B25">
        <v>5</v>
      </c>
      <c r="E25">
        <v>5</v>
      </c>
      <c r="F25" s="29">
        <f t="shared" si="0"/>
        <v>0</v>
      </c>
      <c r="G25" s="4" t="s">
        <v>1</v>
      </c>
      <c r="H25" s="4" t="s">
        <v>1</v>
      </c>
      <c r="I25" s="4" t="s">
        <v>1</v>
      </c>
    </row>
    <row r="26" spans="1:9">
      <c r="H26" s="29"/>
      <c r="I26"/>
    </row>
    <row r="27" spans="1:9">
      <c r="H27" s="29"/>
      <c r="I27"/>
    </row>
    <row r="28" spans="1:9">
      <c r="H28" s="29"/>
      <c r="I28"/>
    </row>
    <row r="29" spans="1:9">
      <c r="H29" s="29"/>
      <c r="I29"/>
    </row>
    <row r="30" spans="1:9">
      <c r="H30" s="29"/>
      <c r="I30"/>
    </row>
    <row r="31" spans="1:9">
      <c r="H31" s="29"/>
      <c r="I31"/>
    </row>
    <row r="32" spans="1:9">
      <c r="H32" s="29"/>
      <c r="I32"/>
    </row>
    <row r="33" spans="8:9">
      <c r="H33" s="29"/>
      <c r="I33"/>
    </row>
    <row r="34" spans="8:9">
      <c r="H34" s="29"/>
      <c r="I34"/>
    </row>
    <row r="35" spans="8:9">
      <c r="H35" s="29"/>
      <c r="I35"/>
    </row>
    <row r="36" spans="8:9">
      <c r="H36" s="29"/>
      <c r="I36"/>
    </row>
    <row r="37" spans="8:9">
      <c r="H37" s="29"/>
      <c r="I37"/>
    </row>
    <row r="38" spans="8:9">
      <c r="H38" s="29"/>
      <c r="I38"/>
    </row>
    <row r="39" spans="8:9">
      <c r="H39" s="29"/>
      <c r="I39"/>
    </row>
    <row r="40" spans="8:9">
      <c r="H40" s="29"/>
      <c r="I40"/>
    </row>
    <row r="41" spans="8:9">
      <c r="H41" s="29"/>
      <c r="I41"/>
    </row>
    <row r="42" spans="8:9">
      <c r="H42" s="29"/>
      <c r="I42"/>
    </row>
    <row r="43" spans="8:9">
      <c r="H43" s="29"/>
      <c r="I43"/>
    </row>
    <row r="44" spans="8:9">
      <c r="H44" s="29"/>
      <c r="I44"/>
    </row>
    <row r="45" spans="8:9">
      <c r="H45" s="29"/>
      <c r="I45"/>
    </row>
    <row r="46" spans="8:9">
      <c r="H46" s="29"/>
      <c r="I46"/>
    </row>
    <row r="47" spans="8:9">
      <c r="H47" s="29"/>
      <c r="I47"/>
    </row>
    <row r="48" spans="8:9">
      <c r="H48" s="29"/>
      <c r="I48"/>
    </row>
    <row r="49" spans="8:9">
      <c r="H49" s="29"/>
      <c r="I49"/>
    </row>
    <row r="50" spans="8:9">
      <c r="H50" s="29"/>
      <c r="I50"/>
    </row>
    <row r="51" spans="8:9">
      <c r="H51" s="29"/>
      <c r="I51"/>
    </row>
    <row r="52" spans="8:9">
      <c r="H52" s="29"/>
      <c r="I52"/>
    </row>
    <row r="53" spans="8:9">
      <c r="H53" s="29"/>
      <c r="I53"/>
    </row>
    <row r="54" spans="8:9">
      <c r="H54" s="29"/>
      <c r="I54"/>
    </row>
    <row r="55" spans="8:9">
      <c r="H55" s="29"/>
      <c r="I55"/>
    </row>
    <row r="56" spans="8:9">
      <c r="H56" s="29"/>
      <c r="I56"/>
    </row>
    <row r="57" spans="8:9">
      <c r="H57" s="29"/>
      <c r="I57"/>
    </row>
    <row r="58" spans="8:9">
      <c r="H58" s="29"/>
      <c r="I58"/>
    </row>
    <row r="59" spans="8:9">
      <c r="H59" s="29"/>
      <c r="I59"/>
    </row>
    <row r="60" spans="8:9">
      <c r="H60" s="29"/>
      <c r="I60"/>
    </row>
    <row r="61" spans="8:9">
      <c r="H61" s="29"/>
      <c r="I61"/>
    </row>
    <row r="62" spans="8:9">
      <c r="H62" s="29"/>
      <c r="I62"/>
    </row>
    <row r="63" spans="8:9">
      <c r="H63" s="29"/>
      <c r="I63"/>
    </row>
    <row r="64" spans="8:9">
      <c r="H64" s="29"/>
      <c r="I64"/>
    </row>
    <row r="65" spans="8:9">
      <c r="H65" s="29"/>
      <c r="I65"/>
    </row>
    <row r="66" spans="8:9">
      <c r="H66" s="29"/>
      <c r="I66"/>
    </row>
    <row r="67" spans="8:9">
      <c r="H67" s="29"/>
      <c r="I67"/>
    </row>
    <row r="68" spans="8:9">
      <c r="H68" s="29"/>
      <c r="I68"/>
    </row>
    <row r="69" spans="8:9">
      <c r="H69" s="29"/>
      <c r="I69"/>
    </row>
    <row r="70" spans="8:9">
      <c r="H70" s="29"/>
      <c r="I70"/>
    </row>
    <row r="71" spans="8:9">
      <c r="H71" s="29"/>
      <c r="I71"/>
    </row>
    <row r="72" spans="8:9">
      <c r="H72" s="29"/>
      <c r="I72"/>
    </row>
    <row r="73" spans="8:9">
      <c r="H73" s="29"/>
      <c r="I73"/>
    </row>
    <row r="74" spans="8:9">
      <c r="H74" s="29"/>
      <c r="I74"/>
    </row>
    <row r="75" spans="8:9">
      <c r="H75" s="29"/>
      <c r="I75"/>
    </row>
    <row r="76" spans="8:9">
      <c r="H76" s="29"/>
      <c r="I76"/>
    </row>
    <row r="77" spans="8:9">
      <c r="H77" s="29"/>
      <c r="I77"/>
    </row>
    <row r="78" spans="8:9">
      <c r="H78" s="29"/>
      <c r="I78"/>
    </row>
    <row r="79" spans="8:9">
      <c r="H79" s="29"/>
      <c r="I79"/>
    </row>
    <row r="80" spans="8:9">
      <c r="H80" s="29"/>
      <c r="I80"/>
    </row>
    <row r="81" spans="8:9">
      <c r="H81" s="29"/>
      <c r="I81"/>
    </row>
    <row r="82" spans="8:9">
      <c r="H82" s="29"/>
      <c r="I82"/>
    </row>
    <row r="83" spans="8:9">
      <c r="H83" s="29"/>
      <c r="I83"/>
    </row>
    <row r="84" spans="8:9">
      <c r="H84" s="29"/>
      <c r="I84"/>
    </row>
    <row r="85" spans="8:9">
      <c r="H85" s="29"/>
      <c r="I85"/>
    </row>
    <row r="86" spans="8:9">
      <c r="H86" s="29"/>
      <c r="I86"/>
    </row>
    <row r="87" spans="8:9">
      <c r="H87" s="29"/>
      <c r="I87"/>
    </row>
    <row r="88" spans="8:9">
      <c r="H88" s="29"/>
      <c r="I88"/>
    </row>
    <row r="89" spans="8:9">
      <c r="H89" s="29"/>
      <c r="I89"/>
    </row>
    <row r="90" spans="8:9">
      <c r="H90" s="29"/>
      <c r="I90"/>
    </row>
    <row r="91" spans="8:9">
      <c r="H91" s="29"/>
      <c r="I91"/>
    </row>
    <row r="92" spans="8:9">
      <c r="H92" s="29"/>
      <c r="I92"/>
    </row>
    <row r="93" spans="8:9">
      <c r="H93" s="29"/>
      <c r="I93"/>
    </row>
    <row r="94" spans="8:9">
      <c r="H94" s="29"/>
      <c r="I94"/>
    </row>
    <row r="95" spans="8:9">
      <c r="H95" s="29"/>
      <c r="I95"/>
    </row>
    <row r="96" spans="8:9">
      <c r="H96" s="29"/>
      <c r="I96"/>
    </row>
    <row r="97" spans="8:9">
      <c r="H97" s="29"/>
      <c r="I97"/>
    </row>
    <row r="98" spans="8:9">
      <c r="H98" s="29"/>
      <c r="I98"/>
    </row>
    <row r="99" spans="8:9">
      <c r="H99" s="29"/>
      <c r="I99"/>
    </row>
    <row r="100" spans="8:9">
      <c r="H100" s="29"/>
      <c r="I100"/>
    </row>
    <row r="101" spans="8:9">
      <c r="H101" s="29"/>
      <c r="I101"/>
    </row>
    <row r="102" spans="8:9">
      <c r="H102" s="29"/>
      <c r="I102"/>
    </row>
    <row r="103" spans="8:9">
      <c r="H103" s="29"/>
      <c r="I103"/>
    </row>
    <row r="104" spans="8:9">
      <c r="H104" s="29"/>
      <c r="I104"/>
    </row>
    <row r="105" spans="8:9">
      <c r="H105" s="29"/>
      <c r="I105"/>
    </row>
    <row r="106" spans="8:9">
      <c r="H106" s="29"/>
      <c r="I106"/>
    </row>
    <row r="107" spans="8:9">
      <c r="H107" s="29"/>
      <c r="I107"/>
    </row>
    <row r="108" spans="8:9">
      <c r="H108" s="29"/>
      <c r="I108"/>
    </row>
    <row r="109" spans="8:9">
      <c r="H109" s="29"/>
      <c r="I109"/>
    </row>
    <row r="110" spans="8:9">
      <c r="H110" s="29"/>
      <c r="I110"/>
    </row>
    <row r="111" spans="8:9">
      <c r="H111" s="29"/>
      <c r="I111"/>
    </row>
    <row r="112" spans="8:9">
      <c r="H112" s="29"/>
      <c r="I112"/>
    </row>
    <row r="113" spans="8:9">
      <c r="H113" s="29"/>
      <c r="I113"/>
    </row>
    <row r="114" spans="8:9">
      <c r="H114" s="29"/>
      <c r="I114"/>
    </row>
    <row r="115" spans="8:9">
      <c r="H115" s="29"/>
      <c r="I115"/>
    </row>
    <row r="116" spans="8:9">
      <c r="H116" s="29"/>
      <c r="I116"/>
    </row>
    <row r="117" spans="8:9">
      <c r="H117" s="29"/>
      <c r="I117"/>
    </row>
    <row r="118" spans="8:9">
      <c r="H118" s="29"/>
      <c r="I118"/>
    </row>
    <row r="119" spans="8:9">
      <c r="H119" s="29"/>
      <c r="I119"/>
    </row>
    <row r="120" spans="8:9">
      <c r="H120" s="29"/>
      <c r="I120"/>
    </row>
    <row r="121" spans="8:9">
      <c r="H121" s="29"/>
      <c r="I121"/>
    </row>
    <row r="122" spans="8:9">
      <c r="H122" s="29"/>
      <c r="I122"/>
    </row>
    <row r="123" spans="8:9">
      <c r="H123" s="29"/>
      <c r="I123"/>
    </row>
    <row r="124" spans="8:9">
      <c r="H124" s="29"/>
      <c r="I124"/>
    </row>
    <row r="125" spans="8:9">
      <c r="H125" s="29"/>
      <c r="I125"/>
    </row>
    <row r="126" spans="8:9">
      <c r="H126" s="29"/>
      <c r="I126"/>
    </row>
    <row r="127" spans="8:9">
      <c r="H127" s="29"/>
      <c r="I127"/>
    </row>
    <row r="128" spans="8:9">
      <c r="H128" s="29"/>
      <c r="I128"/>
    </row>
    <row r="129" spans="8:9">
      <c r="H129" s="29"/>
      <c r="I129"/>
    </row>
    <row r="130" spans="8:9">
      <c r="H130" s="29"/>
      <c r="I130"/>
    </row>
    <row r="131" spans="8:9">
      <c r="H131" s="29"/>
      <c r="I131"/>
    </row>
    <row r="132" spans="8:9">
      <c r="H132" s="29"/>
      <c r="I132"/>
    </row>
    <row r="133" spans="8:9">
      <c r="H133" s="4"/>
      <c r="I133"/>
    </row>
    <row r="134" spans="8:9">
      <c r="H134" s="4"/>
      <c r="I134"/>
    </row>
    <row r="135" spans="8:9">
      <c r="H135" s="4"/>
      <c r="I135"/>
    </row>
    <row r="136" spans="8:9">
      <c r="H136" s="4"/>
      <c r="I136"/>
    </row>
    <row r="137" spans="8:9">
      <c r="H137" s="4"/>
      <c r="I137"/>
    </row>
    <row r="138" spans="8:9">
      <c r="H138" s="4"/>
      <c r="I138"/>
    </row>
    <row r="139" spans="8:9">
      <c r="H139" s="4"/>
      <c r="I139"/>
    </row>
    <row r="140" spans="8:9">
      <c r="H140" s="4"/>
      <c r="I140"/>
    </row>
    <row r="141" spans="8:9">
      <c r="H141" s="4"/>
      <c r="I141"/>
    </row>
    <row r="142" spans="8:9">
      <c r="H142" s="4"/>
      <c r="I142"/>
    </row>
    <row r="143" spans="8:9">
      <c r="H143" s="4"/>
      <c r="I143"/>
    </row>
    <row r="144" spans="8:9">
      <c r="H144" s="4"/>
      <c r="I144"/>
    </row>
    <row r="145" spans="8:9">
      <c r="H145" s="4"/>
      <c r="I145"/>
    </row>
    <row r="146" spans="8:9">
      <c r="H146" s="4"/>
      <c r="I146"/>
    </row>
    <row r="147" spans="8:9">
      <c r="H147" s="4"/>
      <c r="I147"/>
    </row>
    <row r="148" spans="8:9">
      <c r="H148" s="4"/>
      <c r="I148"/>
    </row>
    <row r="149" spans="8:9">
      <c r="H149" s="4"/>
      <c r="I149"/>
    </row>
  </sheetData>
  <printOptions gridLines="1"/>
  <pageMargins left="0.25" right="0.25" top="0.25" bottom="0.25" header="0.3" footer="0.3"/>
  <pageSetup scale="95" orientation="landscape"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668E-9C37-0D48-B9DE-472B1F544E45}">
  <sheetPr>
    <pageSetUpPr fitToPage="1"/>
  </sheetPr>
  <dimension ref="A1:M184"/>
  <sheetViews>
    <sheetView zoomScaleNormal="100" workbookViewId="0">
      <pane xSplit="3" ySplit="9" topLeftCell="D10" activePane="bottomRight" state="frozen"/>
      <selection pane="topRight" activeCell="D1" sqref="D1"/>
      <selection pane="bottomLeft" activeCell="A8" sqref="A8"/>
      <selection pane="bottomRight" activeCell="D10" sqref="D10"/>
    </sheetView>
  </sheetViews>
  <sheetFormatPr baseColWidth="10" defaultColWidth="10.83203125" defaultRowHeight="15"/>
  <cols>
    <col min="1" max="1" width="24.1640625" customWidth="1"/>
    <col min="2" max="2" width="10.1640625" customWidth="1"/>
    <col min="3" max="3" width="11" customWidth="1"/>
    <col min="4" max="4" width="77.83203125" bestFit="1" customWidth="1"/>
    <col min="5" max="5" width="10.83203125" customWidth="1"/>
    <col min="6" max="6" width="9.6640625" customWidth="1"/>
    <col min="7" max="7" width="10.83203125" style="4"/>
    <col min="8" max="8" width="11" customWidth="1"/>
    <col min="9" max="9" width="9.1640625" style="4" customWidth="1"/>
  </cols>
  <sheetData>
    <row r="1" spans="1:13">
      <c r="A1" t="s">
        <v>169</v>
      </c>
      <c r="E1" s="24"/>
      <c r="F1" s="24"/>
      <c r="H1" s="15"/>
      <c r="I1" s="29"/>
    </row>
    <row r="2" spans="1:13" ht="26">
      <c r="A2" s="17" t="s">
        <v>170</v>
      </c>
      <c r="B2" s="23" t="str">
        <f>Setup!G5</f>
        <v>GA Primary, CD 6 &amp; 13, BIPOC voters</v>
      </c>
      <c r="C2" s="23"/>
    </row>
    <row r="3" spans="1:13">
      <c r="C3" s="17" t="s">
        <v>264</v>
      </c>
      <c r="D3" t="str">
        <f>Setup!$G$14</f>
        <v>Primary 1-2024</v>
      </c>
    </row>
    <row r="4" spans="1:13">
      <c r="B4" s="9"/>
      <c r="C4" s="33" t="s">
        <v>369</v>
      </c>
      <c r="D4" s="18" t="s">
        <v>381</v>
      </c>
    </row>
    <row r="5" spans="1:13">
      <c r="B5" s="9"/>
      <c r="C5" s="33" t="s">
        <v>274</v>
      </c>
      <c r="D5" s="18" t="s">
        <v>380</v>
      </c>
      <c r="E5" t="s">
        <v>368</v>
      </c>
      <c r="J5" s="15"/>
    </row>
    <row r="6" spans="1:13">
      <c r="A6" s="17"/>
      <c r="B6" s="9"/>
      <c r="C6" s="33" t="s">
        <v>275</v>
      </c>
      <c r="D6" s="18" t="s">
        <v>377</v>
      </c>
      <c r="E6" s="18" t="s">
        <v>367</v>
      </c>
      <c r="I6" s="26"/>
    </row>
    <row r="7" spans="1:13">
      <c r="A7" s="17"/>
      <c r="B7" s="9"/>
      <c r="C7" s="33" t="s">
        <v>366</v>
      </c>
      <c r="D7" s="18" t="s">
        <v>378</v>
      </c>
      <c r="E7" s="18" t="s">
        <v>379</v>
      </c>
    </row>
    <row r="8" spans="1:13">
      <c r="B8" s="19">
        <f>SUM(B10:B822)</f>
        <v>209106</v>
      </c>
    </row>
    <row r="9" spans="1:13" ht="48">
      <c r="A9" s="3" t="s">
        <v>344</v>
      </c>
      <c r="B9" s="3" t="s">
        <v>171</v>
      </c>
      <c r="C9" s="3" t="s">
        <v>345</v>
      </c>
      <c r="D9" s="22" t="s">
        <v>415</v>
      </c>
      <c r="E9" s="22" t="s">
        <v>197</v>
      </c>
      <c r="F9" s="22" t="s">
        <v>213</v>
      </c>
      <c r="G9" s="22" t="s">
        <v>198</v>
      </c>
      <c r="H9" s="22" t="s">
        <v>371</v>
      </c>
      <c r="I9" s="22" t="s">
        <v>370</v>
      </c>
      <c r="J9" s="22" t="s">
        <v>199</v>
      </c>
      <c r="K9" s="3" t="s">
        <v>200</v>
      </c>
      <c r="L9" s="3" t="s">
        <v>172</v>
      </c>
      <c r="M9" s="25"/>
    </row>
    <row r="10" spans="1:13">
      <c r="A10" t="s">
        <v>382</v>
      </c>
      <c r="B10" s="24">
        <v>3251</v>
      </c>
      <c r="D10" s="41" t="s">
        <v>1</v>
      </c>
      <c r="E10" s="29">
        <v>3251</v>
      </c>
      <c r="F10" s="29">
        <f t="shared" ref="F10:F45" si="0">IF(ISNUMBER(E10),B10-E10,"-")</f>
        <v>0</v>
      </c>
      <c r="G10" s="4" t="s">
        <v>1</v>
      </c>
      <c r="H10" s="4" t="s">
        <v>1</v>
      </c>
      <c r="I10" s="4" t="s">
        <v>1</v>
      </c>
    </row>
    <row r="11" spans="1:13">
      <c r="A11" t="s">
        <v>383</v>
      </c>
      <c r="B11">
        <v>5017</v>
      </c>
      <c r="E11" s="29">
        <v>5017</v>
      </c>
      <c r="F11" s="29">
        <f t="shared" si="0"/>
        <v>0</v>
      </c>
      <c r="G11" s="4" t="s">
        <v>1</v>
      </c>
      <c r="H11" s="4" t="s">
        <v>1</v>
      </c>
      <c r="I11" s="4" t="s">
        <v>1</v>
      </c>
    </row>
    <row r="12" spans="1:13">
      <c r="A12" t="s">
        <v>364</v>
      </c>
      <c r="B12">
        <v>10568</v>
      </c>
      <c r="E12" s="29">
        <v>10568</v>
      </c>
      <c r="F12" s="29">
        <f t="shared" si="0"/>
        <v>0</v>
      </c>
      <c r="G12" s="4" t="s">
        <v>1</v>
      </c>
      <c r="H12" s="4" t="s">
        <v>1</v>
      </c>
      <c r="I12" s="4" t="s">
        <v>1</v>
      </c>
    </row>
    <row r="13" spans="1:13">
      <c r="A13" t="s">
        <v>384</v>
      </c>
      <c r="B13">
        <v>4828</v>
      </c>
      <c r="E13" s="29">
        <v>4828</v>
      </c>
      <c r="F13" s="29">
        <f t="shared" si="0"/>
        <v>0</v>
      </c>
      <c r="G13" s="4" t="s">
        <v>1</v>
      </c>
      <c r="H13" s="4" t="s">
        <v>1</v>
      </c>
      <c r="I13" s="4" t="s">
        <v>1</v>
      </c>
    </row>
    <row r="14" spans="1:13">
      <c r="A14" t="s">
        <v>385</v>
      </c>
      <c r="B14">
        <v>896</v>
      </c>
      <c r="E14" s="29">
        <v>896</v>
      </c>
      <c r="F14" s="29">
        <f t="shared" si="0"/>
        <v>0</v>
      </c>
      <c r="G14" s="4" t="s">
        <v>1</v>
      </c>
      <c r="H14" s="4" t="s">
        <v>1</v>
      </c>
      <c r="I14" s="4" t="s">
        <v>1</v>
      </c>
    </row>
    <row r="15" spans="1:13">
      <c r="A15" t="s">
        <v>386</v>
      </c>
      <c r="B15">
        <v>707</v>
      </c>
      <c r="E15" s="29">
        <v>707</v>
      </c>
      <c r="F15" s="29">
        <f t="shared" si="0"/>
        <v>0</v>
      </c>
      <c r="G15" s="4" t="s">
        <v>1</v>
      </c>
      <c r="H15" s="4" t="s">
        <v>1</v>
      </c>
      <c r="I15" s="4" t="s">
        <v>1</v>
      </c>
    </row>
    <row r="16" spans="1:13">
      <c r="A16" t="s">
        <v>387</v>
      </c>
      <c r="B16">
        <v>1965</v>
      </c>
      <c r="E16" s="29">
        <v>1965</v>
      </c>
      <c r="F16" s="29">
        <f t="shared" si="0"/>
        <v>0</v>
      </c>
      <c r="G16" s="4" t="s">
        <v>1</v>
      </c>
      <c r="H16" s="4" t="s">
        <v>1</v>
      </c>
      <c r="I16" s="4" t="s">
        <v>1</v>
      </c>
    </row>
    <row r="17" spans="1:9">
      <c r="A17" t="s">
        <v>388</v>
      </c>
      <c r="B17">
        <v>799</v>
      </c>
      <c r="E17" s="29">
        <v>799</v>
      </c>
      <c r="F17" s="29">
        <f t="shared" si="0"/>
        <v>0</v>
      </c>
      <c r="G17" s="4" t="s">
        <v>1</v>
      </c>
      <c r="H17" s="4" t="s">
        <v>1</v>
      </c>
      <c r="I17" s="4" t="s">
        <v>1</v>
      </c>
    </row>
    <row r="18" spans="1:9">
      <c r="A18" t="s">
        <v>389</v>
      </c>
      <c r="B18">
        <v>1191</v>
      </c>
      <c r="E18" s="29">
        <v>1191</v>
      </c>
      <c r="F18" s="29">
        <f t="shared" si="0"/>
        <v>0</v>
      </c>
      <c r="G18" s="4" t="s">
        <v>1</v>
      </c>
      <c r="H18" s="4" t="s">
        <v>1</v>
      </c>
      <c r="I18" s="4" t="s">
        <v>1</v>
      </c>
    </row>
    <row r="19" spans="1:9">
      <c r="A19" t="s">
        <v>390</v>
      </c>
      <c r="B19">
        <v>949</v>
      </c>
      <c r="E19" s="29">
        <v>949</v>
      </c>
      <c r="F19" s="29">
        <f t="shared" si="0"/>
        <v>0</v>
      </c>
      <c r="G19" s="4" t="s">
        <v>1</v>
      </c>
      <c r="H19" s="4" t="s">
        <v>1</v>
      </c>
      <c r="I19" s="4" t="s">
        <v>1</v>
      </c>
    </row>
    <row r="20" spans="1:9">
      <c r="A20" t="s">
        <v>391</v>
      </c>
      <c r="B20">
        <v>10417</v>
      </c>
      <c r="E20" s="29">
        <v>10417</v>
      </c>
      <c r="F20" s="29">
        <f t="shared" si="0"/>
        <v>0</v>
      </c>
      <c r="G20" s="4" t="s">
        <v>1</v>
      </c>
      <c r="H20" s="4" t="s">
        <v>1</v>
      </c>
      <c r="I20" s="4" t="s">
        <v>1</v>
      </c>
    </row>
    <row r="21" spans="1:9">
      <c r="A21" t="s">
        <v>392</v>
      </c>
      <c r="B21">
        <v>17074</v>
      </c>
      <c r="E21" s="29">
        <v>17074</v>
      </c>
      <c r="F21" s="29">
        <f t="shared" si="0"/>
        <v>0</v>
      </c>
      <c r="G21" s="4" t="s">
        <v>1</v>
      </c>
      <c r="H21" s="4" t="s">
        <v>1</v>
      </c>
      <c r="I21" s="4" t="s">
        <v>1</v>
      </c>
    </row>
    <row r="22" spans="1:9">
      <c r="A22" t="s">
        <v>393</v>
      </c>
      <c r="B22">
        <v>3692</v>
      </c>
      <c r="E22" s="29">
        <v>3692</v>
      </c>
      <c r="F22" s="29">
        <f t="shared" si="0"/>
        <v>0</v>
      </c>
      <c r="G22" s="4" t="s">
        <v>1</v>
      </c>
      <c r="H22" s="4" t="s">
        <v>1</v>
      </c>
      <c r="I22" s="4" t="s">
        <v>1</v>
      </c>
    </row>
    <row r="23" spans="1:9">
      <c r="A23" t="s">
        <v>394</v>
      </c>
      <c r="B23">
        <v>514</v>
      </c>
      <c r="E23" s="29">
        <v>514</v>
      </c>
      <c r="F23" s="29">
        <f t="shared" si="0"/>
        <v>0</v>
      </c>
      <c r="G23" s="4" t="s">
        <v>1</v>
      </c>
      <c r="H23" s="4" t="s">
        <v>1</v>
      </c>
      <c r="I23" s="4" t="s">
        <v>1</v>
      </c>
    </row>
    <row r="24" spans="1:9">
      <c r="A24" t="s">
        <v>395</v>
      </c>
      <c r="B24">
        <v>417</v>
      </c>
      <c r="E24" s="29">
        <v>417</v>
      </c>
      <c r="F24" s="29">
        <f t="shared" si="0"/>
        <v>0</v>
      </c>
      <c r="G24" s="4" t="s">
        <v>1</v>
      </c>
      <c r="H24" s="4" t="s">
        <v>1</v>
      </c>
      <c r="I24" s="4" t="s">
        <v>1</v>
      </c>
    </row>
    <row r="25" spans="1:9">
      <c r="A25" t="s">
        <v>396</v>
      </c>
      <c r="B25">
        <v>2252</v>
      </c>
      <c r="E25" s="29">
        <v>2252</v>
      </c>
      <c r="F25" s="29">
        <f t="shared" si="0"/>
        <v>0</v>
      </c>
      <c r="G25" s="4" t="s">
        <v>1</v>
      </c>
      <c r="H25" s="4" t="s">
        <v>1</v>
      </c>
      <c r="I25" s="4" t="s">
        <v>1</v>
      </c>
    </row>
    <row r="26" spans="1:9">
      <c r="A26" t="s">
        <v>397</v>
      </c>
      <c r="B26">
        <v>1393</v>
      </c>
      <c r="E26" s="29">
        <v>1393</v>
      </c>
      <c r="F26" s="29">
        <f t="shared" si="0"/>
        <v>0</v>
      </c>
      <c r="G26" s="4" t="s">
        <v>1</v>
      </c>
      <c r="H26" s="4" t="s">
        <v>1</v>
      </c>
      <c r="I26" s="4" t="s">
        <v>1</v>
      </c>
    </row>
    <row r="27" spans="1:9">
      <c r="A27" t="s">
        <v>398</v>
      </c>
      <c r="B27">
        <v>1535</v>
      </c>
      <c r="E27" s="29">
        <v>1535</v>
      </c>
      <c r="F27" s="29">
        <f t="shared" si="0"/>
        <v>0</v>
      </c>
      <c r="G27" s="4" t="s">
        <v>1</v>
      </c>
      <c r="H27" s="4" t="s">
        <v>1</v>
      </c>
      <c r="I27" s="4" t="s">
        <v>1</v>
      </c>
    </row>
    <row r="28" spans="1:9">
      <c r="A28" t="s">
        <v>399</v>
      </c>
      <c r="B28">
        <v>4348</v>
      </c>
      <c r="E28" s="29">
        <v>4348</v>
      </c>
      <c r="F28" s="29">
        <f t="shared" si="0"/>
        <v>0</v>
      </c>
      <c r="G28" s="4" t="s">
        <v>1</v>
      </c>
      <c r="H28" s="4" t="s">
        <v>1</v>
      </c>
      <c r="I28" s="4" t="s">
        <v>1</v>
      </c>
    </row>
    <row r="29" spans="1:9">
      <c r="A29" t="s">
        <v>400</v>
      </c>
      <c r="B29">
        <v>3768</v>
      </c>
      <c r="E29" s="29">
        <v>3768</v>
      </c>
      <c r="F29" s="29">
        <f t="shared" si="0"/>
        <v>0</v>
      </c>
      <c r="G29" s="4" t="s">
        <v>1</v>
      </c>
      <c r="H29" s="4" t="s">
        <v>1</v>
      </c>
      <c r="I29" s="4" t="s">
        <v>1</v>
      </c>
    </row>
    <row r="30" spans="1:9">
      <c r="A30" t="s">
        <v>401</v>
      </c>
      <c r="B30">
        <v>1255</v>
      </c>
      <c r="E30" s="29">
        <v>1255</v>
      </c>
      <c r="F30" s="29">
        <f t="shared" si="0"/>
        <v>0</v>
      </c>
      <c r="G30" s="4" t="s">
        <v>1</v>
      </c>
      <c r="H30" s="4" t="s">
        <v>1</v>
      </c>
      <c r="I30" s="4" t="s">
        <v>1</v>
      </c>
    </row>
    <row r="31" spans="1:9">
      <c r="A31" t="s">
        <v>402</v>
      </c>
      <c r="B31">
        <v>894</v>
      </c>
      <c r="E31" s="29">
        <v>894</v>
      </c>
      <c r="F31" s="29">
        <f t="shared" si="0"/>
        <v>0</v>
      </c>
      <c r="G31" s="4" t="s">
        <v>1</v>
      </c>
      <c r="H31" s="4" t="s">
        <v>1</v>
      </c>
      <c r="I31" s="4" t="s">
        <v>1</v>
      </c>
    </row>
    <row r="32" spans="1:9">
      <c r="A32" t="s">
        <v>403</v>
      </c>
      <c r="B32">
        <v>22515</v>
      </c>
      <c r="E32" s="29">
        <v>22515</v>
      </c>
      <c r="F32" s="29">
        <f t="shared" si="0"/>
        <v>0</v>
      </c>
      <c r="G32" s="4" t="s">
        <v>1</v>
      </c>
      <c r="H32" s="4" t="s">
        <v>1</v>
      </c>
      <c r="I32" s="4" t="s">
        <v>1</v>
      </c>
    </row>
    <row r="33" spans="1:9">
      <c r="A33" t="s">
        <v>404</v>
      </c>
      <c r="B33">
        <v>1581</v>
      </c>
      <c r="E33" s="29">
        <v>1581</v>
      </c>
      <c r="F33" s="29">
        <f t="shared" si="0"/>
        <v>0</v>
      </c>
      <c r="G33" s="4" t="s">
        <v>1</v>
      </c>
      <c r="H33" s="4" t="s">
        <v>1</v>
      </c>
      <c r="I33" s="4" t="s">
        <v>1</v>
      </c>
    </row>
    <row r="34" spans="1:9">
      <c r="A34" t="s">
        <v>405</v>
      </c>
      <c r="B34">
        <v>52</v>
      </c>
      <c r="E34" s="29">
        <v>52</v>
      </c>
      <c r="F34" s="29">
        <f t="shared" si="0"/>
        <v>0</v>
      </c>
      <c r="G34" s="4" t="s">
        <v>1</v>
      </c>
      <c r="H34" s="4" t="s">
        <v>1</v>
      </c>
      <c r="I34" s="4" t="s">
        <v>1</v>
      </c>
    </row>
    <row r="35" spans="1:9">
      <c r="A35" t="s">
        <v>365</v>
      </c>
      <c r="B35">
        <v>4511</v>
      </c>
      <c r="E35" s="29">
        <v>4511</v>
      </c>
      <c r="F35" s="29">
        <f t="shared" si="0"/>
        <v>0</v>
      </c>
      <c r="G35" s="4" t="s">
        <v>1</v>
      </c>
      <c r="H35" s="4" t="s">
        <v>1</v>
      </c>
      <c r="I35" s="4" t="s">
        <v>1</v>
      </c>
    </row>
    <row r="36" spans="1:9">
      <c r="A36" t="s">
        <v>406</v>
      </c>
      <c r="B36">
        <v>14433</v>
      </c>
      <c r="E36" s="29">
        <v>14433</v>
      </c>
      <c r="F36" s="29">
        <f t="shared" si="0"/>
        <v>0</v>
      </c>
      <c r="G36" s="4" t="s">
        <v>1</v>
      </c>
      <c r="H36" s="4" t="s">
        <v>1</v>
      </c>
      <c r="I36" s="4" t="s">
        <v>1</v>
      </c>
    </row>
    <row r="37" spans="1:9">
      <c r="A37" t="s">
        <v>407</v>
      </c>
      <c r="B37">
        <v>1226</v>
      </c>
      <c r="E37" s="29">
        <v>1226</v>
      </c>
      <c r="F37" s="29">
        <f t="shared" si="0"/>
        <v>0</v>
      </c>
      <c r="G37" s="4" t="s">
        <v>1</v>
      </c>
      <c r="H37" s="4" t="s">
        <v>1</v>
      </c>
      <c r="I37" s="4" t="s">
        <v>1</v>
      </c>
    </row>
    <row r="38" spans="1:9">
      <c r="A38" t="s">
        <v>408</v>
      </c>
      <c r="B38">
        <v>2925</v>
      </c>
      <c r="E38" s="29">
        <v>2925</v>
      </c>
      <c r="F38" s="29">
        <f t="shared" si="0"/>
        <v>0</v>
      </c>
      <c r="G38" s="4" t="s">
        <v>1</v>
      </c>
      <c r="H38" s="4" t="s">
        <v>1</v>
      </c>
      <c r="I38" s="4" t="s">
        <v>1</v>
      </c>
    </row>
    <row r="39" spans="1:9">
      <c r="A39" t="s">
        <v>409</v>
      </c>
      <c r="B39">
        <v>11828</v>
      </c>
      <c r="E39" s="29">
        <v>11828</v>
      </c>
      <c r="F39" s="29">
        <f t="shared" si="0"/>
        <v>0</v>
      </c>
      <c r="G39" s="4" t="s">
        <v>1</v>
      </c>
      <c r="H39" s="4" t="s">
        <v>1</v>
      </c>
      <c r="I39" s="4" t="s">
        <v>1</v>
      </c>
    </row>
    <row r="40" spans="1:9">
      <c r="A40" t="s">
        <v>410</v>
      </c>
      <c r="B40">
        <v>13379</v>
      </c>
      <c r="E40" s="29">
        <v>13379</v>
      </c>
      <c r="F40" s="29">
        <f t="shared" si="0"/>
        <v>0</v>
      </c>
      <c r="G40" s="4" t="s">
        <v>1</v>
      </c>
      <c r="H40" s="4" t="s">
        <v>1</v>
      </c>
      <c r="I40" s="4" t="s">
        <v>1</v>
      </c>
    </row>
    <row r="41" spans="1:9">
      <c r="A41" t="s">
        <v>374</v>
      </c>
      <c r="B41">
        <v>13660</v>
      </c>
      <c r="E41" s="29">
        <v>13660</v>
      </c>
      <c r="F41" s="29">
        <f t="shared" si="0"/>
        <v>0</v>
      </c>
      <c r="G41" s="4" t="s">
        <v>1</v>
      </c>
      <c r="H41" s="4" t="s">
        <v>1</v>
      </c>
      <c r="I41" s="4" t="s">
        <v>1</v>
      </c>
    </row>
    <row r="42" spans="1:9">
      <c r="A42" t="s">
        <v>411</v>
      </c>
      <c r="B42">
        <v>37065</v>
      </c>
      <c r="E42" s="29">
        <f>25000+12065</f>
        <v>37065</v>
      </c>
      <c r="F42" s="29">
        <f t="shared" si="0"/>
        <v>0</v>
      </c>
      <c r="G42" s="4" t="s">
        <v>1</v>
      </c>
      <c r="H42" s="4" t="s">
        <v>1</v>
      </c>
      <c r="I42" s="4" t="s">
        <v>1</v>
      </c>
    </row>
    <row r="43" spans="1:9">
      <c r="A43" t="s">
        <v>412</v>
      </c>
      <c r="B43">
        <v>2767</v>
      </c>
      <c r="E43" s="29">
        <v>2767</v>
      </c>
      <c r="F43" s="29">
        <f t="shared" si="0"/>
        <v>0</v>
      </c>
      <c r="G43" s="4" t="s">
        <v>1</v>
      </c>
      <c r="H43" s="4" t="s">
        <v>1</v>
      </c>
      <c r="I43" s="4" t="s">
        <v>1</v>
      </c>
    </row>
    <row r="44" spans="1:9">
      <c r="A44" t="s">
        <v>413</v>
      </c>
      <c r="B44">
        <v>964</v>
      </c>
      <c r="E44" s="29">
        <v>964</v>
      </c>
      <c r="F44" s="29">
        <f t="shared" si="0"/>
        <v>0</v>
      </c>
      <c r="G44" s="4" t="s">
        <v>1</v>
      </c>
      <c r="H44" s="4" t="s">
        <v>1</v>
      </c>
      <c r="I44" s="4" t="s">
        <v>1</v>
      </c>
    </row>
    <row r="45" spans="1:9">
      <c r="A45" t="s">
        <v>414</v>
      </c>
      <c r="B45">
        <v>4470</v>
      </c>
      <c r="E45" s="29">
        <v>4470</v>
      </c>
      <c r="F45" s="29">
        <f t="shared" si="0"/>
        <v>0</v>
      </c>
      <c r="G45" s="4" t="s">
        <v>1</v>
      </c>
      <c r="H45" s="4" t="s">
        <v>1</v>
      </c>
      <c r="I45" s="4" t="s">
        <v>1</v>
      </c>
    </row>
    <row r="46" spans="1:9">
      <c r="H46" s="29"/>
      <c r="I46"/>
    </row>
    <row r="47" spans="1:9">
      <c r="H47" s="29"/>
      <c r="I47"/>
    </row>
    <row r="48" spans="1:9">
      <c r="H48" s="29"/>
      <c r="I48"/>
    </row>
    <row r="49" spans="8:9">
      <c r="H49" s="29"/>
      <c r="I49"/>
    </row>
    <row r="50" spans="8:9">
      <c r="H50" s="29"/>
      <c r="I50"/>
    </row>
    <row r="51" spans="8:9">
      <c r="H51" s="29"/>
      <c r="I51"/>
    </row>
    <row r="52" spans="8:9">
      <c r="H52" s="29"/>
      <c r="I52"/>
    </row>
    <row r="53" spans="8:9">
      <c r="H53" s="29"/>
      <c r="I53"/>
    </row>
    <row r="54" spans="8:9">
      <c r="H54" s="29"/>
      <c r="I54"/>
    </row>
    <row r="55" spans="8:9">
      <c r="H55" s="29"/>
      <c r="I55"/>
    </row>
    <row r="56" spans="8:9">
      <c r="H56" s="29"/>
      <c r="I56"/>
    </row>
    <row r="57" spans="8:9">
      <c r="H57" s="29"/>
      <c r="I57"/>
    </row>
    <row r="58" spans="8:9">
      <c r="H58" s="29"/>
      <c r="I58"/>
    </row>
    <row r="59" spans="8:9">
      <c r="H59" s="29"/>
      <c r="I59"/>
    </row>
    <row r="60" spans="8:9">
      <c r="H60" s="29"/>
      <c r="I60"/>
    </row>
    <row r="61" spans="8:9">
      <c r="H61" s="29"/>
      <c r="I61"/>
    </row>
    <row r="62" spans="8:9">
      <c r="H62" s="29"/>
      <c r="I62"/>
    </row>
    <row r="63" spans="8:9">
      <c r="H63" s="29"/>
      <c r="I63"/>
    </row>
    <row r="64" spans="8:9">
      <c r="H64" s="29"/>
      <c r="I64"/>
    </row>
    <row r="65" spans="8:9">
      <c r="H65" s="29"/>
      <c r="I65"/>
    </row>
    <row r="66" spans="8:9">
      <c r="H66" s="29"/>
      <c r="I66"/>
    </row>
    <row r="67" spans="8:9">
      <c r="H67" s="29"/>
      <c r="I67"/>
    </row>
    <row r="68" spans="8:9">
      <c r="H68" s="29"/>
      <c r="I68"/>
    </row>
    <row r="69" spans="8:9">
      <c r="H69" s="29"/>
      <c r="I69"/>
    </row>
    <row r="70" spans="8:9">
      <c r="H70" s="29"/>
      <c r="I70"/>
    </row>
    <row r="71" spans="8:9">
      <c r="H71" s="29"/>
      <c r="I71"/>
    </row>
    <row r="72" spans="8:9">
      <c r="H72" s="29"/>
      <c r="I72"/>
    </row>
    <row r="73" spans="8:9">
      <c r="H73" s="29"/>
      <c r="I73"/>
    </row>
    <row r="74" spans="8:9">
      <c r="H74" s="29"/>
      <c r="I74"/>
    </row>
    <row r="75" spans="8:9">
      <c r="H75" s="29"/>
      <c r="I75"/>
    </row>
    <row r="76" spans="8:9">
      <c r="H76" s="29"/>
      <c r="I76"/>
    </row>
    <row r="77" spans="8:9">
      <c r="H77" s="29"/>
      <c r="I77"/>
    </row>
    <row r="78" spans="8:9">
      <c r="H78" s="29"/>
      <c r="I78"/>
    </row>
    <row r="79" spans="8:9">
      <c r="H79" s="29"/>
      <c r="I79"/>
    </row>
    <row r="80" spans="8:9">
      <c r="H80" s="29"/>
      <c r="I80"/>
    </row>
    <row r="81" spans="8:9">
      <c r="H81" s="29"/>
      <c r="I81"/>
    </row>
    <row r="82" spans="8:9">
      <c r="H82" s="29"/>
      <c r="I82"/>
    </row>
    <row r="83" spans="8:9">
      <c r="H83" s="29"/>
      <c r="I83"/>
    </row>
    <row r="84" spans="8:9">
      <c r="H84" s="29"/>
      <c r="I84"/>
    </row>
    <row r="85" spans="8:9">
      <c r="H85" s="29"/>
      <c r="I85"/>
    </row>
    <row r="86" spans="8:9">
      <c r="H86" s="29"/>
      <c r="I86"/>
    </row>
    <row r="87" spans="8:9">
      <c r="H87" s="29"/>
      <c r="I87"/>
    </row>
    <row r="88" spans="8:9">
      <c r="H88" s="29"/>
      <c r="I88"/>
    </row>
    <row r="89" spans="8:9">
      <c r="H89" s="29"/>
      <c r="I89"/>
    </row>
    <row r="90" spans="8:9">
      <c r="H90" s="29"/>
      <c r="I90"/>
    </row>
    <row r="91" spans="8:9">
      <c r="H91" s="29"/>
      <c r="I91"/>
    </row>
    <row r="92" spans="8:9">
      <c r="H92" s="29"/>
      <c r="I92"/>
    </row>
    <row r="93" spans="8:9">
      <c r="H93" s="29"/>
      <c r="I93"/>
    </row>
    <row r="94" spans="8:9">
      <c r="H94" s="29"/>
      <c r="I94"/>
    </row>
    <row r="95" spans="8:9">
      <c r="H95" s="29"/>
      <c r="I95"/>
    </row>
    <row r="96" spans="8:9">
      <c r="H96" s="29"/>
      <c r="I96"/>
    </row>
    <row r="97" spans="8:9">
      <c r="H97" s="29"/>
      <c r="I97"/>
    </row>
    <row r="98" spans="8:9">
      <c r="H98" s="29"/>
      <c r="I98"/>
    </row>
    <row r="99" spans="8:9">
      <c r="H99" s="29"/>
      <c r="I99"/>
    </row>
    <row r="100" spans="8:9">
      <c r="H100" s="29"/>
      <c r="I100"/>
    </row>
    <row r="101" spans="8:9">
      <c r="H101" s="29"/>
      <c r="I101"/>
    </row>
    <row r="102" spans="8:9">
      <c r="H102" s="29"/>
      <c r="I102"/>
    </row>
    <row r="103" spans="8:9">
      <c r="H103" s="29"/>
      <c r="I103"/>
    </row>
    <row r="104" spans="8:9">
      <c r="H104" s="29"/>
      <c r="I104"/>
    </row>
    <row r="105" spans="8:9">
      <c r="H105" s="29"/>
      <c r="I105"/>
    </row>
    <row r="106" spans="8:9">
      <c r="H106" s="29"/>
      <c r="I106"/>
    </row>
    <row r="107" spans="8:9">
      <c r="H107" s="29"/>
      <c r="I107"/>
    </row>
    <row r="108" spans="8:9">
      <c r="H108" s="29"/>
      <c r="I108"/>
    </row>
    <row r="109" spans="8:9">
      <c r="H109" s="29"/>
      <c r="I109"/>
    </row>
    <row r="110" spans="8:9">
      <c r="H110" s="29"/>
      <c r="I110"/>
    </row>
    <row r="111" spans="8:9">
      <c r="H111" s="29"/>
      <c r="I111"/>
    </row>
    <row r="112" spans="8:9">
      <c r="H112" s="29"/>
      <c r="I112"/>
    </row>
    <row r="113" spans="8:9">
      <c r="H113" s="29"/>
      <c r="I113"/>
    </row>
    <row r="114" spans="8:9">
      <c r="H114" s="29"/>
      <c r="I114"/>
    </row>
    <row r="115" spans="8:9">
      <c r="H115" s="29"/>
      <c r="I115"/>
    </row>
    <row r="116" spans="8:9">
      <c r="H116" s="29"/>
      <c r="I116"/>
    </row>
    <row r="117" spans="8:9">
      <c r="H117" s="29"/>
      <c r="I117"/>
    </row>
    <row r="118" spans="8:9">
      <c r="H118" s="29"/>
      <c r="I118"/>
    </row>
    <row r="119" spans="8:9">
      <c r="H119" s="29"/>
      <c r="I119"/>
    </row>
    <row r="120" spans="8:9">
      <c r="H120" s="29"/>
      <c r="I120"/>
    </row>
    <row r="121" spans="8:9">
      <c r="H121" s="29"/>
      <c r="I121"/>
    </row>
    <row r="122" spans="8:9">
      <c r="H122" s="29"/>
      <c r="I122"/>
    </row>
    <row r="123" spans="8:9">
      <c r="H123" s="29"/>
      <c r="I123"/>
    </row>
    <row r="124" spans="8:9">
      <c r="H124" s="29"/>
      <c r="I124"/>
    </row>
    <row r="125" spans="8:9">
      <c r="H125" s="29"/>
      <c r="I125"/>
    </row>
    <row r="126" spans="8:9">
      <c r="H126" s="29"/>
      <c r="I126"/>
    </row>
    <row r="127" spans="8:9">
      <c r="H127" s="29"/>
      <c r="I127"/>
    </row>
    <row r="128" spans="8:9">
      <c r="H128" s="29"/>
      <c r="I128"/>
    </row>
    <row r="129" spans="8:9">
      <c r="H129" s="29"/>
      <c r="I129"/>
    </row>
    <row r="130" spans="8:9">
      <c r="H130" s="29"/>
      <c r="I130"/>
    </row>
    <row r="131" spans="8:9">
      <c r="H131" s="29"/>
      <c r="I131"/>
    </row>
    <row r="132" spans="8:9">
      <c r="H132" s="29"/>
      <c r="I132"/>
    </row>
    <row r="133" spans="8:9">
      <c r="H133" s="29"/>
      <c r="I133"/>
    </row>
    <row r="134" spans="8:9">
      <c r="H134" s="29"/>
      <c r="I134"/>
    </row>
    <row r="135" spans="8:9">
      <c r="H135" s="29"/>
      <c r="I135"/>
    </row>
    <row r="136" spans="8:9">
      <c r="H136" s="29"/>
      <c r="I136"/>
    </row>
    <row r="137" spans="8:9">
      <c r="H137" s="29"/>
      <c r="I137"/>
    </row>
    <row r="138" spans="8:9">
      <c r="H138" s="29"/>
      <c r="I138"/>
    </row>
    <row r="139" spans="8:9">
      <c r="H139" s="29"/>
      <c r="I139"/>
    </row>
    <row r="140" spans="8:9">
      <c r="H140" s="29"/>
      <c r="I140"/>
    </row>
    <row r="141" spans="8:9">
      <c r="H141" s="29"/>
      <c r="I141"/>
    </row>
    <row r="142" spans="8:9">
      <c r="H142" s="29"/>
      <c r="I142"/>
    </row>
    <row r="143" spans="8:9">
      <c r="H143" s="29"/>
      <c r="I143"/>
    </row>
    <row r="144" spans="8:9">
      <c r="H144" s="29"/>
      <c r="I144"/>
    </row>
    <row r="145" spans="8:9">
      <c r="H145" s="29"/>
      <c r="I145"/>
    </row>
    <row r="146" spans="8:9">
      <c r="H146" s="29"/>
      <c r="I146"/>
    </row>
    <row r="147" spans="8:9">
      <c r="H147" s="29"/>
      <c r="I147"/>
    </row>
    <row r="148" spans="8:9">
      <c r="H148" s="29"/>
      <c r="I148"/>
    </row>
    <row r="149" spans="8:9">
      <c r="H149" s="29"/>
      <c r="I149"/>
    </row>
    <row r="150" spans="8:9">
      <c r="H150" s="29"/>
      <c r="I150"/>
    </row>
    <row r="151" spans="8:9">
      <c r="H151" s="29"/>
      <c r="I151"/>
    </row>
    <row r="152" spans="8:9">
      <c r="H152" s="29"/>
      <c r="I152"/>
    </row>
    <row r="153" spans="8:9">
      <c r="H153" s="29"/>
      <c r="I153"/>
    </row>
    <row r="154" spans="8:9">
      <c r="H154" s="29"/>
      <c r="I154"/>
    </row>
    <row r="155" spans="8:9">
      <c r="H155" s="29"/>
      <c r="I155"/>
    </row>
    <row r="156" spans="8:9">
      <c r="H156" s="29"/>
      <c r="I156"/>
    </row>
    <row r="157" spans="8:9">
      <c r="H157" s="29"/>
      <c r="I157"/>
    </row>
    <row r="158" spans="8:9">
      <c r="H158" s="29"/>
      <c r="I158"/>
    </row>
    <row r="159" spans="8:9">
      <c r="H159" s="29"/>
      <c r="I159"/>
    </row>
    <row r="160" spans="8:9">
      <c r="H160" s="29"/>
      <c r="I160"/>
    </row>
    <row r="161" spans="8:9">
      <c r="H161" s="29"/>
      <c r="I161"/>
    </row>
    <row r="162" spans="8:9">
      <c r="H162" s="29"/>
      <c r="I162"/>
    </row>
    <row r="163" spans="8:9">
      <c r="H163" s="29"/>
      <c r="I163"/>
    </row>
    <row r="164" spans="8:9">
      <c r="H164" s="29"/>
      <c r="I164"/>
    </row>
    <row r="165" spans="8:9">
      <c r="H165" s="29"/>
      <c r="I165"/>
    </row>
    <row r="166" spans="8:9">
      <c r="H166" s="29"/>
      <c r="I166"/>
    </row>
    <row r="167" spans="8:9">
      <c r="H167" s="29"/>
      <c r="I167"/>
    </row>
    <row r="168" spans="8:9">
      <c r="H168" s="4"/>
      <c r="I168"/>
    </row>
    <row r="169" spans="8:9">
      <c r="H169" s="4"/>
      <c r="I169"/>
    </row>
    <row r="170" spans="8:9">
      <c r="H170" s="4"/>
      <c r="I170"/>
    </row>
    <row r="171" spans="8:9">
      <c r="H171" s="4"/>
      <c r="I171"/>
    </row>
    <row r="172" spans="8:9">
      <c r="H172" s="4"/>
      <c r="I172"/>
    </row>
    <row r="173" spans="8:9">
      <c r="H173" s="4"/>
      <c r="I173"/>
    </row>
    <row r="174" spans="8:9">
      <c r="H174" s="4"/>
      <c r="I174"/>
    </row>
    <row r="175" spans="8:9">
      <c r="H175" s="4"/>
      <c r="I175"/>
    </row>
    <row r="176" spans="8:9">
      <c r="H176" s="4"/>
      <c r="I176"/>
    </row>
    <row r="177" spans="8:9">
      <c r="H177" s="4"/>
      <c r="I177"/>
    </row>
    <row r="178" spans="8:9">
      <c r="H178" s="4"/>
      <c r="I178"/>
    </row>
    <row r="179" spans="8:9">
      <c r="H179" s="4"/>
      <c r="I179"/>
    </row>
    <row r="180" spans="8:9">
      <c r="H180" s="4"/>
      <c r="I180"/>
    </row>
    <row r="181" spans="8:9">
      <c r="H181" s="4"/>
      <c r="I181"/>
    </row>
    <row r="182" spans="8:9">
      <c r="H182" s="4"/>
      <c r="I182"/>
    </row>
    <row r="183" spans="8:9">
      <c r="H183" s="4"/>
      <c r="I183"/>
    </row>
    <row r="184" spans="8:9">
      <c r="H184" s="4"/>
      <c r="I184"/>
    </row>
  </sheetData>
  <printOptions gridLines="1"/>
  <pageMargins left="0.25" right="0.25" top="0.25" bottom="0.25" header="0.3" footer="0.3"/>
  <pageSetup scale="95" orientation="landscape" horizontalDpi="0" verticalDpi="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A71CE-0BE2-334B-964B-788A0A84BFA7}">
  <sheetPr codeName="Sheet4"/>
  <dimension ref="A1:AW73"/>
  <sheetViews>
    <sheetView workbookViewId="0"/>
  </sheetViews>
  <sheetFormatPr baseColWidth="10" defaultColWidth="10.83203125" defaultRowHeight="15"/>
  <cols>
    <col min="1" max="1" width="24.6640625" bestFit="1" customWidth="1"/>
    <col min="2" max="2" width="14.6640625" bestFit="1" customWidth="1"/>
    <col min="3" max="3" width="16.6640625" bestFit="1" customWidth="1"/>
    <col min="4" max="4" width="11.5" bestFit="1" customWidth="1"/>
    <col min="5" max="5" width="23.5" bestFit="1" customWidth="1"/>
    <col min="6" max="7" width="22.6640625" bestFit="1" customWidth="1"/>
    <col min="8" max="9" width="23" bestFit="1" customWidth="1"/>
    <col min="10" max="10" width="25.83203125" bestFit="1" customWidth="1"/>
    <col min="11" max="11" width="27.1640625" bestFit="1" customWidth="1"/>
    <col min="12" max="12" width="31" bestFit="1" customWidth="1"/>
    <col min="13" max="13" width="20.83203125" bestFit="1" customWidth="1"/>
    <col min="14" max="14" width="21.83203125" bestFit="1" customWidth="1"/>
    <col min="15" max="15" width="27.1640625" bestFit="1" customWidth="1"/>
    <col min="16" max="16" width="31" bestFit="1" customWidth="1"/>
    <col min="17" max="17" width="25.1640625" bestFit="1" customWidth="1"/>
    <col min="18" max="18" width="29.1640625" bestFit="1" customWidth="1"/>
    <col min="19" max="19" width="20.1640625" bestFit="1" customWidth="1"/>
    <col min="20" max="20" width="24.5" bestFit="1" customWidth="1"/>
    <col min="21" max="21" width="25.1640625" bestFit="1" customWidth="1"/>
    <col min="22" max="22" width="29.1640625" bestFit="1" customWidth="1"/>
    <col min="23" max="23" width="19" bestFit="1" customWidth="1"/>
    <col min="24" max="24" width="21.1640625" bestFit="1" customWidth="1"/>
    <col min="25" max="25" width="18.33203125" bestFit="1" customWidth="1"/>
    <col min="26" max="26" width="22.6640625" bestFit="1" customWidth="1"/>
    <col min="27" max="27" width="14.1640625" bestFit="1" customWidth="1"/>
    <col min="28" max="28" width="28" bestFit="1" customWidth="1"/>
    <col min="29" max="29" width="27.1640625" bestFit="1" customWidth="1"/>
    <col min="30" max="30" width="26.83203125" bestFit="1" customWidth="1"/>
    <col min="31" max="31" width="12.33203125" bestFit="1" customWidth="1"/>
    <col min="32" max="32" width="27" bestFit="1" customWidth="1"/>
    <col min="33" max="33" width="28" bestFit="1" customWidth="1"/>
    <col min="34" max="34" width="27.1640625" bestFit="1" customWidth="1"/>
    <col min="35" max="35" width="26.83203125" bestFit="1" customWidth="1"/>
    <col min="36" max="39" width="27.33203125" bestFit="1" customWidth="1"/>
    <col min="40" max="41" width="17.1640625" bestFit="1" customWidth="1"/>
    <col min="42" max="45" width="27.33203125" bestFit="1" customWidth="1"/>
    <col min="46" max="49" width="17.1640625" bestFit="1" customWidth="1"/>
  </cols>
  <sheetData>
    <row r="1" spans="1:43" ht="16">
      <c r="A1" t="s">
        <v>50</v>
      </c>
      <c r="B1" s="6" t="s">
        <v>26</v>
      </c>
      <c r="C1" s="6" t="s">
        <v>27</v>
      </c>
      <c r="D1" s="6" t="s">
        <v>28</v>
      </c>
      <c r="E1" s="6" t="s">
        <v>29</v>
      </c>
      <c r="F1" s="7" t="s">
        <v>30</v>
      </c>
      <c r="G1" s="7" t="s">
        <v>31</v>
      </c>
      <c r="H1" s="7" t="s">
        <v>32</v>
      </c>
      <c r="I1" s="6" t="s">
        <v>33</v>
      </c>
      <c r="J1" s="6" t="s">
        <v>34</v>
      </c>
      <c r="K1" s="6" t="s">
        <v>35</v>
      </c>
      <c r="L1" s="6" t="s">
        <v>36</v>
      </c>
      <c r="M1" s="6" t="s">
        <v>37</v>
      </c>
      <c r="N1" s="6" t="s">
        <v>38</v>
      </c>
      <c r="O1" s="6" t="s">
        <v>39</v>
      </c>
      <c r="P1" s="6" t="s">
        <v>55</v>
      </c>
      <c r="Q1" s="6" t="s">
        <v>44</v>
      </c>
      <c r="R1" s="6" t="s">
        <v>45</v>
      </c>
      <c r="S1" s="6" t="s">
        <v>46</v>
      </c>
    </row>
    <row r="2" spans="1:43">
      <c r="A2" t="s">
        <v>51</v>
      </c>
      <c r="B2" t="s">
        <v>26</v>
      </c>
      <c r="C2" t="s">
        <v>27</v>
      </c>
      <c r="D2" t="s">
        <v>28</v>
      </c>
      <c r="E2" t="s">
        <v>29</v>
      </c>
      <c r="F2" t="s">
        <v>30</v>
      </c>
      <c r="G2" t="s">
        <v>31</v>
      </c>
      <c r="H2" t="s">
        <v>32</v>
      </c>
      <c r="I2" t="s">
        <v>33</v>
      </c>
      <c r="J2" t="s">
        <v>34</v>
      </c>
      <c r="K2" t="s">
        <v>35</v>
      </c>
      <c r="L2" t="s">
        <v>36</v>
      </c>
      <c r="M2" t="s">
        <v>37</v>
      </c>
      <c r="N2" t="s">
        <v>38</v>
      </c>
      <c r="O2" t="s">
        <v>39</v>
      </c>
      <c r="P2" t="s">
        <v>55</v>
      </c>
      <c r="Q2" t="s">
        <v>44</v>
      </c>
      <c r="R2" t="s">
        <v>45</v>
      </c>
      <c r="S2" t="s">
        <v>46</v>
      </c>
    </row>
    <row r="3" spans="1:43">
      <c r="A3" t="s">
        <v>52</v>
      </c>
      <c r="B3" t="s">
        <v>26</v>
      </c>
      <c r="C3" t="s">
        <v>27</v>
      </c>
      <c r="D3" t="s">
        <v>28</v>
      </c>
      <c r="E3" t="s">
        <v>29</v>
      </c>
      <c r="F3" t="s">
        <v>30</v>
      </c>
      <c r="G3" t="s">
        <v>31</v>
      </c>
      <c r="H3" t="s">
        <v>32</v>
      </c>
      <c r="I3" t="s">
        <v>33</v>
      </c>
      <c r="J3" t="s">
        <v>34</v>
      </c>
      <c r="K3" t="s">
        <v>35</v>
      </c>
      <c r="L3" t="s">
        <v>36</v>
      </c>
      <c r="M3" t="s">
        <v>37</v>
      </c>
      <c r="N3" t="s">
        <v>38</v>
      </c>
      <c r="O3" t="s">
        <v>39</v>
      </c>
      <c r="P3" t="s">
        <v>55</v>
      </c>
      <c r="Q3" t="s">
        <v>44</v>
      </c>
      <c r="R3" t="s">
        <v>45</v>
      </c>
      <c r="S3" t="s">
        <v>46</v>
      </c>
    </row>
    <row r="4" spans="1:43" ht="16">
      <c r="A4" t="s">
        <v>53</v>
      </c>
      <c r="B4" t="s">
        <v>26</v>
      </c>
      <c r="C4" t="s">
        <v>27</v>
      </c>
      <c r="D4" t="s">
        <v>28</v>
      </c>
      <c r="E4" t="s">
        <v>29</v>
      </c>
      <c r="F4" s="7" t="s">
        <v>30</v>
      </c>
      <c r="G4" s="7" t="s">
        <v>31</v>
      </c>
      <c r="H4" s="7" t="s">
        <v>32</v>
      </c>
      <c r="I4" t="s">
        <v>33</v>
      </c>
      <c r="J4" t="s">
        <v>34</v>
      </c>
      <c r="K4" t="s">
        <v>35</v>
      </c>
      <c r="L4" t="s">
        <v>36</v>
      </c>
      <c r="M4" t="s">
        <v>37</v>
      </c>
      <c r="N4" t="s">
        <v>38</v>
      </c>
      <c r="O4" t="s">
        <v>39</v>
      </c>
      <c r="P4" t="s">
        <v>5</v>
      </c>
      <c r="Q4" t="s">
        <v>44</v>
      </c>
      <c r="R4" t="s">
        <v>45</v>
      </c>
      <c r="S4" t="s">
        <v>46</v>
      </c>
    </row>
    <row r="5" spans="1:43">
      <c r="A5" t="s">
        <v>25</v>
      </c>
      <c r="B5" t="s">
        <v>26</v>
      </c>
      <c r="C5" t="s">
        <v>27</v>
      </c>
      <c r="D5" t="s">
        <v>28</v>
      </c>
      <c r="E5" t="s">
        <v>29</v>
      </c>
      <c r="F5" t="s">
        <v>30</v>
      </c>
      <c r="G5" t="s">
        <v>31</v>
      </c>
      <c r="H5" t="s">
        <v>32</v>
      </c>
      <c r="I5" t="s">
        <v>33</v>
      </c>
      <c r="J5" t="s">
        <v>34</v>
      </c>
      <c r="K5" t="s">
        <v>35</v>
      </c>
      <c r="L5" t="s">
        <v>36</v>
      </c>
      <c r="M5" t="s">
        <v>37</v>
      </c>
      <c r="N5" t="s">
        <v>38</v>
      </c>
      <c r="O5" t="s">
        <v>39</v>
      </c>
      <c r="P5" s="8" t="s">
        <v>48</v>
      </c>
      <c r="Q5" s="9" t="s">
        <v>40</v>
      </c>
      <c r="R5" s="9" t="s">
        <v>41</v>
      </c>
      <c r="S5" s="9" t="s">
        <v>42</v>
      </c>
      <c r="T5" s="9" t="s">
        <v>43</v>
      </c>
      <c r="U5" t="s">
        <v>44</v>
      </c>
      <c r="V5" t="s">
        <v>45</v>
      </c>
      <c r="W5" t="s">
        <v>46</v>
      </c>
      <c r="X5" s="9" t="s">
        <v>47</v>
      </c>
    </row>
    <row r="9" spans="1:43">
      <c r="A9" t="s">
        <v>59</v>
      </c>
    </row>
    <row r="10" spans="1:43">
      <c r="A10" t="s">
        <v>60</v>
      </c>
      <c r="B10" t="s">
        <v>5</v>
      </c>
      <c r="C10" t="s">
        <v>61</v>
      </c>
      <c r="D10" t="s">
        <v>62</v>
      </c>
      <c r="E10" t="s">
        <v>63</v>
      </c>
      <c r="F10" t="s">
        <v>64</v>
      </c>
      <c r="G10" t="s">
        <v>65</v>
      </c>
      <c r="H10" t="s">
        <v>66</v>
      </c>
      <c r="I10" t="s">
        <v>67</v>
      </c>
      <c r="J10" t="s">
        <v>68</v>
      </c>
      <c r="K10" t="s">
        <v>69</v>
      </c>
      <c r="L10" t="s">
        <v>70</v>
      </c>
      <c r="M10" t="s">
        <v>71</v>
      </c>
      <c r="N10" t="s">
        <v>72</v>
      </c>
      <c r="O10" t="s">
        <v>73</v>
      </c>
      <c r="P10" t="s">
        <v>74</v>
      </c>
      <c r="Q10" t="s">
        <v>75</v>
      </c>
      <c r="R10" t="s">
        <v>76</v>
      </c>
      <c r="S10" t="s">
        <v>77</v>
      </c>
      <c r="T10" t="s">
        <v>78</v>
      </c>
      <c r="U10" t="s">
        <v>79</v>
      </c>
      <c r="V10" t="s">
        <v>80</v>
      </c>
      <c r="W10" t="s">
        <v>81</v>
      </c>
      <c r="X10" t="s">
        <v>82</v>
      </c>
      <c r="Y10" t="s">
        <v>83</v>
      </c>
      <c r="Z10" t="s">
        <v>84</v>
      </c>
      <c r="AA10" t="s">
        <v>85</v>
      </c>
      <c r="AB10" t="s">
        <v>86</v>
      </c>
      <c r="AC10" t="s">
        <v>87</v>
      </c>
      <c r="AD10" t="s">
        <v>88</v>
      </c>
      <c r="AE10" t="s">
        <v>89</v>
      </c>
      <c r="AF10" t="s">
        <v>90</v>
      </c>
      <c r="AG10" t="s">
        <v>91</v>
      </c>
      <c r="AH10" t="s">
        <v>92</v>
      </c>
      <c r="AI10" t="s">
        <v>93</v>
      </c>
      <c r="AJ10" t="s">
        <v>94</v>
      </c>
      <c r="AK10" t="s">
        <v>95</v>
      </c>
      <c r="AL10" t="s">
        <v>96</v>
      </c>
      <c r="AM10" t="s">
        <v>97</v>
      </c>
      <c r="AN10" t="s">
        <v>98</v>
      </c>
      <c r="AO10" t="s">
        <v>99</v>
      </c>
      <c r="AP10" t="s">
        <v>100</v>
      </c>
      <c r="AQ10" t="s">
        <v>101</v>
      </c>
    </row>
    <row r="11" spans="1:43">
      <c r="A11" t="s">
        <v>1</v>
      </c>
      <c r="B11" t="s">
        <v>19</v>
      </c>
      <c r="C11" t="s">
        <v>20</v>
      </c>
      <c r="D11" t="s">
        <v>1</v>
      </c>
      <c r="E11" t="s">
        <v>22</v>
      </c>
      <c r="F11" t="s">
        <v>1</v>
      </c>
      <c r="G11" t="s">
        <v>1</v>
      </c>
      <c r="H11" t="s">
        <v>1</v>
      </c>
      <c r="I11" t="s">
        <v>1</v>
      </c>
      <c r="J11" t="s">
        <v>1</v>
      </c>
      <c r="K11" t="s">
        <v>136</v>
      </c>
      <c r="L11" t="s">
        <v>137</v>
      </c>
      <c r="M11" t="s">
        <v>138</v>
      </c>
      <c r="N11" t="s">
        <v>139</v>
      </c>
      <c r="O11" t="s">
        <v>140</v>
      </c>
      <c r="P11" t="s">
        <v>141</v>
      </c>
      <c r="Q11" t="s">
        <v>54</v>
      </c>
      <c r="R11" t="s">
        <v>15</v>
      </c>
      <c r="S11" t="s">
        <v>16</v>
      </c>
      <c r="T11" t="s">
        <v>21</v>
      </c>
      <c r="U11" t="s">
        <v>17</v>
      </c>
      <c r="V11" t="s">
        <v>142</v>
      </c>
      <c r="W11" t="s">
        <v>1</v>
      </c>
      <c r="X11" t="s">
        <v>1</v>
      </c>
      <c r="Y11" t="s">
        <v>23</v>
      </c>
      <c r="Z11" t="s">
        <v>1</v>
      </c>
      <c r="AA11" t="s">
        <v>24</v>
      </c>
      <c r="AB11" t="s">
        <v>1</v>
      </c>
      <c r="AC11" t="s">
        <v>1</v>
      </c>
      <c r="AD11" t="s">
        <v>1</v>
      </c>
      <c r="AE11" t="s">
        <v>1</v>
      </c>
      <c r="AF11" t="s">
        <v>1</v>
      </c>
      <c r="AG11" t="s">
        <v>1</v>
      </c>
      <c r="AH11" t="s">
        <v>1</v>
      </c>
      <c r="AI11" t="s">
        <v>1</v>
      </c>
      <c r="AJ11" t="s">
        <v>1</v>
      </c>
      <c r="AK11" t="s">
        <v>1</v>
      </c>
      <c r="AL11" t="s">
        <v>1</v>
      </c>
      <c r="AM11" t="s">
        <v>1</v>
      </c>
      <c r="AN11" t="s">
        <v>1</v>
      </c>
      <c r="AO11" t="s">
        <v>1</v>
      </c>
      <c r="AP11" t="s">
        <v>1</v>
      </c>
      <c r="AQ11" t="s">
        <v>1</v>
      </c>
    </row>
    <row r="12" spans="1:43">
      <c r="C12" t="s">
        <v>1</v>
      </c>
      <c r="D12" t="s">
        <v>1</v>
      </c>
      <c r="E12" t="s">
        <v>1</v>
      </c>
      <c r="F12" t="s">
        <v>1</v>
      </c>
      <c r="G12" t="s">
        <v>1</v>
      </c>
      <c r="M12" t="s">
        <v>1</v>
      </c>
      <c r="N12" t="s">
        <v>1</v>
      </c>
      <c r="P12" t="s">
        <v>1</v>
      </c>
      <c r="Q12" t="s">
        <v>1</v>
      </c>
      <c r="R12" t="s">
        <v>1</v>
      </c>
    </row>
    <row r="13" spans="1:43">
      <c r="A13" s="5" t="s">
        <v>6</v>
      </c>
      <c r="B13" s="5" t="s">
        <v>7</v>
      </c>
      <c r="C13" s="5" t="s">
        <v>8</v>
      </c>
      <c r="D13" s="5" t="s">
        <v>9</v>
      </c>
      <c r="E13" s="5" t="s">
        <v>10</v>
      </c>
      <c r="F13" s="5" t="s">
        <v>11</v>
      </c>
      <c r="G13" s="5" t="s">
        <v>12</v>
      </c>
      <c r="H13" s="5" t="s">
        <v>13</v>
      </c>
      <c r="I13" s="5" t="s">
        <v>5</v>
      </c>
      <c r="J13" t="s">
        <v>56</v>
      </c>
    </row>
    <row r="14" spans="1:43">
      <c r="A14">
        <v>2158316134</v>
      </c>
      <c r="B14" t="s">
        <v>102</v>
      </c>
      <c r="C14" t="s">
        <v>103</v>
      </c>
      <c r="E14" t="s">
        <v>104</v>
      </c>
      <c r="K14" t="s">
        <v>105</v>
      </c>
      <c r="M14" t="s">
        <v>106</v>
      </c>
      <c r="N14" t="s">
        <v>107</v>
      </c>
      <c r="O14">
        <v>77044</v>
      </c>
      <c r="P14">
        <v>3511</v>
      </c>
      <c r="Q14" t="s">
        <v>105</v>
      </c>
      <c r="S14" t="s">
        <v>106</v>
      </c>
      <c r="T14" t="s">
        <v>107</v>
      </c>
      <c r="U14">
        <v>77044</v>
      </c>
      <c r="V14">
        <v>3511</v>
      </c>
      <c r="W14" s="16">
        <v>28599</v>
      </c>
      <c r="X14" s="16">
        <v>43707</v>
      </c>
      <c r="Y14">
        <v>43</v>
      </c>
      <c r="Z14" t="s">
        <v>108</v>
      </c>
      <c r="AA14" t="s">
        <v>109</v>
      </c>
      <c r="AB14">
        <v>29</v>
      </c>
      <c r="AC14">
        <v>6</v>
      </c>
      <c r="AD14">
        <v>142</v>
      </c>
      <c r="AE14">
        <v>96</v>
      </c>
      <c r="AI14" t="s">
        <v>110</v>
      </c>
    </row>
    <row r="15" spans="1:43">
      <c r="A15">
        <v>2156173423</v>
      </c>
      <c r="B15" t="s">
        <v>111</v>
      </c>
      <c r="C15" t="s">
        <v>112</v>
      </c>
      <c r="E15" t="s">
        <v>113</v>
      </c>
      <c r="F15" t="s">
        <v>114</v>
      </c>
      <c r="G15">
        <v>9726373358</v>
      </c>
      <c r="K15" t="s">
        <v>115</v>
      </c>
      <c r="M15" t="s">
        <v>116</v>
      </c>
      <c r="N15" t="s">
        <v>107</v>
      </c>
      <c r="O15">
        <v>75104</v>
      </c>
      <c r="P15">
        <v>9100</v>
      </c>
      <c r="Q15" t="s">
        <v>115</v>
      </c>
      <c r="S15" t="s">
        <v>116</v>
      </c>
      <c r="T15" t="s">
        <v>107</v>
      </c>
      <c r="U15">
        <v>75104</v>
      </c>
      <c r="V15">
        <v>9100</v>
      </c>
      <c r="W15" s="16">
        <v>36861</v>
      </c>
      <c r="X15" s="16">
        <v>43618</v>
      </c>
      <c r="Y15">
        <v>21</v>
      </c>
      <c r="Z15" t="s">
        <v>108</v>
      </c>
      <c r="AA15" t="s">
        <v>109</v>
      </c>
      <c r="AB15">
        <v>30</v>
      </c>
      <c r="AC15">
        <v>23</v>
      </c>
      <c r="AD15">
        <v>109</v>
      </c>
      <c r="AE15">
        <v>3110</v>
      </c>
    </row>
    <row r="16" spans="1:43">
      <c r="A16">
        <v>1049409389</v>
      </c>
      <c r="B16" t="s">
        <v>111</v>
      </c>
      <c r="C16" t="s">
        <v>117</v>
      </c>
      <c r="E16" t="s">
        <v>113</v>
      </c>
      <c r="F16" t="s">
        <v>114</v>
      </c>
      <c r="G16">
        <v>9726373358</v>
      </c>
      <c r="K16" t="s">
        <v>115</v>
      </c>
      <c r="M16" t="s">
        <v>116</v>
      </c>
      <c r="N16" t="s">
        <v>107</v>
      </c>
      <c r="O16">
        <v>75104</v>
      </c>
      <c r="P16">
        <v>9100</v>
      </c>
      <c r="Q16" t="s">
        <v>115</v>
      </c>
      <c r="S16" t="s">
        <v>116</v>
      </c>
      <c r="T16" t="s">
        <v>107</v>
      </c>
      <c r="U16">
        <v>75104</v>
      </c>
      <c r="V16">
        <v>9100</v>
      </c>
      <c r="W16" s="16">
        <v>25911</v>
      </c>
      <c r="X16" s="16">
        <v>39507</v>
      </c>
      <c r="Y16">
        <v>51</v>
      </c>
      <c r="Z16" t="s">
        <v>108</v>
      </c>
      <c r="AA16" t="s">
        <v>118</v>
      </c>
      <c r="AB16">
        <v>30</v>
      </c>
      <c r="AC16">
        <v>23</v>
      </c>
      <c r="AD16">
        <v>109</v>
      </c>
      <c r="AE16">
        <v>3110</v>
      </c>
      <c r="AJ16" t="s">
        <v>110</v>
      </c>
    </row>
    <row r="17" spans="1:49">
      <c r="A17">
        <v>1221243020</v>
      </c>
      <c r="B17" t="s">
        <v>111</v>
      </c>
      <c r="C17" t="s">
        <v>119</v>
      </c>
      <c r="D17" t="s">
        <v>120</v>
      </c>
      <c r="E17" t="s">
        <v>121</v>
      </c>
      <c r="F17" t="s">
        <v>122</v>
      </c>
      <c r="G17">
        <v>9724632456</v>
      </c>
      <c r="K17" t="s">
        <v>123</v>
      </c>
      <c r="M17" t="s">
        <v>124</v>
      </c>
      <c r="N17" t="s">
        <v>107</v>
      </c>
      <c r="O17">
        <v>75089</v>
      </c>
      <c r="P17">
        <v>1665</v>
      </c>
      <c r="Q17" t="s">
        <v>123</v>
      </c>
      <c r="S17" t="s">
        <v>124</v>
      </c>
      <c r="T17" t="s">
        <v>107</v>
      </c>
      <c r="U17">
        <v>75089</v>
      </c>
      <c r="V17">
        <v>1665</v>
      </c>
      <c r="W17" s="16">
        <v>35603</v>
      </c>
      <c r="X17" s="16">
        <v>42168</v>
      </c>
      <c r="Y17">
        <v>24</v>
      </c>
      <c r="Z17" t="s">
        <v>108</v>
      </c>
      <c r="AA17" t="s">
        <v>118</v>
      </c>
      <c r="AB17">
        <v>32</v>
      </c>
      <c r="AC17">
        <v>16</v>
      </c>
      <c r="AD17">
        <v>113</v>
      </c>
      <c r="AE17">
        <v>2921</v>
      </c>
      <c r="AG17" t="s">
        <v>110</v>
      </c>
      <c r="AI17" t="s">
        <v>110</v>
      </c>
    </row>
    <row r="18" spans="1:49">
      <c r="A18">
        <v>1220094208</v>
      </c>
      <c r="B18" t="s">
        <v>102</v>
      </c>
      <c r="C18" t="s">
        <v>125</v>
      </c>
      <c r="D18" t="s">
        <v>126</v>
      </c>
      <c r="E18" t="s">
        <v>121</v>
      </c>
      <c r="F18" t="s">
        <v>127</v>
      </c>
      <c r="G18">
        <v>8325142069</v>
      </c>
      <c r="I18">
        <v>8323391095</v>
      </c>
      <c r="J18" t="s">
        <v>128</v>
      </c>
      <c r="K18" t="s">
        <v>129</v>
      </c>
      <c r="M18" t="s">
        <v>130</v>
      </c>
      <c r="N18" t="s">
        <v>107</v>
      </c>
      <c r="O18">
        <v>77521</v>
      </c>
      <c r="P18">
        <v>6527</v>
      </c>
      <c r="Q18" t="s">
        <v>129</v>
      </c>
      <c r="S18" t="s">
        <v>130</v>
      </c>
      <c r="T18" t="s">
        <v>107</v>
      </c>
      <c r="U18">
        <v>77521</v>
      </c>
      <c r="V18">
        <v>6527</v>
      </c>
      <c r="W18" s="16">
        <v>34502</v>
      </c>
      <c r="X18" s="16">
        <v>42162</v>
      </c>
      <c r="Y18">
        <v>27</v>
      </c>
      <c r="Z18" t="s">
        <v>108</v>
      </c>
      <c r="AA18" t="s">
        <v>118</v>
      </c>
      <c r="AB18">
        <v>36</v>
      </c>
      <c r="AC18">
        <v>15</v>
      </c>
      <c r="AD18">
        <v>128</v>
      </c>
      <c r="AE18">
        <v>456</v>
      </c>
    </row>
    <row r="19" spans="1:49">
      <c r="A19">
        <v>2142041891</v>
      </c>
      <c r="B19" t="s">
        <v>102</v>
      </c>
      <c r="C19" t="s">
        <v>131</v>
      </c>
      <c r="D19" t="s">
        <v>132</v>
      </c>
      <c r="E19" t="s">
        <v>121</v>
      </c>
      <c r="F19" t="s">
        <v>133</v>
      </c>
      <c r="G19">
        <v>2818694777</v>
      </c>
      <c r="I19">
        <v>8327887022</v>
      </c>
      <c r="J19" t="s">
        <v>134</v>
      </c>
      <c r="K19" t="s">
        <v>135</v>
      </c>
      <c r="M19" t="s">
        <v>106</v>
      </c>
      <c r="N19" t="s">
        <v>107</v>
      </c>
      <c r="O19">
        <v>77073</v>
      </c>
      <c r="P19">
        <v>2836</v>
      </c>
      <c r="Q19" t="s">
        <v>135</v>
      </c>
      <c r="S19" t="s">
        <v>106</v>
      </c>
      <c r="T19" t="s">
        <v>107</v>
      </c>
      <c r="U19">
        <v>77073</v>
      </c>
      <c r="V19">
        <v>2836</v>
      </c>
      <c r="W19" s="16">
        <v>36420</v>
      </c>
      <c r="X19" s="16">
        <v>43139</v>
      </c>
      <c r="Y19">
        <v>22</v>
      </c>
      <c r="Z19" t="s">
        <v>108</v>
      </c>
      <c r="AA19" t="s">
        <v>109</v>
      </c>
      <c r="AB19">
        <v>18</v>
      </c>
      <c r="AC19">
        <v>15</v>
      </c>
      <c r="AD19">
        <v>141</v>
      </c>
      <c r="AE19">
        <v>283</v>
      </c>
      <c r="AI19" t="s">
        <v>110</v>
      </c>
    </row>
    <row r="24" spans="1:49">
      <c r="A24" t="s">
        <v>168</v>
      </c>
    </row>
    <row r="25" spans="1:49">
      <c r="A25" t="s">
        <v>145</v>
      </c>
      <c r="B25" t="s">
        <v>146</v>
      </c>
      <c r="C25" t="s">
        <v>147</v>
      </c>
      <c r="D25" t="s">
        <v>148</v>
      </c>
      <c r="E25" t="s">
        <v>149</v>
      </c>
      <c r="F25" t="s">
        <v>150</v>
      </c>
      <c r="G25" t="s">
        <v>64</v>
      </c>
      <c r="H25" t="s">
        <v>65</v>
      </c>
      <c r="I25" t="s">
        <v>66</v>
      </c>
      <c r="J25" t="s">
        <v>151</v>
      </c>
      <c r="K25" t="s">
        <v>68</v>
      </c>
      <c r="L25" t="s">
        <v>152</v>
      </c>
      <c r="M25" t="s">
        <v>153</v>
      </c>
      <c r="N25" t="s">
        <v>154</v>
      </c>
      <c r="O25" t="s">
        <v>69</v>
      </c>
      <c r="P25" t="s">
        <v>70</v>
      </c>
      <c r="Q25" t="s">
        <v>71</v>
      </c>
      <c r="R25" t="s">
        <v>72</v>
      </c>
      <c r="S25" t="s">
        <v>73</v>
      </c>
      <c r="T25" t="s">
        <v>74</v>
      </c>
      <c r="U25" t="s">
        <v>75</v>
      </c>
      <c r="V25" t="s">
        <v>76</v>
      </c>
      <c r="W25" t="s">
        <v>77</v>
      </c>
      <c r="X25" t="s">
        <v>78</v>
      </c>
      <c r="Y25" t="s">
        <v>79</v>
      </c>
      <c r="Z25" t="s">
        <v>80</v>
      </c>
      <c r="AA25" t="s">
        <v>81</v>
      </c>
      <c r="AB25" t="s">
        <v>82</v>
      </c>
      <c r="AC25" t="s">
        <v>83</v>
      </c>
      <c r="AD25" t="s">
        <v>84</v>
      </c>
      <c r="AE25" t="s">
        <v>85</v>
      </c>
      <c r="AF25" t="s">
        <v>155</v>
      </c>
      <c r="AG25" t="s">
        <v>86</v>
      </c>
      <c r="AH25" t="s">
        <v>87</v>
      </c>
      <c r="AI25" t="s">
        <v>88</v>
      </c>
      <c r="AJ25" t="s">
        <v>5</v>
      </c>
      <c r="AK25" t="s">
        <v>89</v>
      </c>
      <c r="AL25" t="s">
        <v>90</v>
      </c>
      <c r="AM25" t="s">
        <v>91</v>
      </c>
      <c r="AN25" t="s">
        <v>92</v>
      </c>
      <c r="AO25" t="s">
        <v>93</v>
      </c>
      <c r="AP25" t="s">
        <v>94</v>
      </c>
      <c r="AQ25" t="s">
        <v>95</v>
      </c>
      <c r="AR25" t="s">
        <v>96</v>
      </c>
      <c r="AS25" t="s">
        <v>97</v>
      </c>
      <c r="AT25" t="s">
        <v>98</v>
      </c>
      <c r="AU25" t="s">
        <v>99</v>
      </c>
      <c r="AV25" t="s">
        <v>100</v>
      </c>
      <c r="AW25" t="s">
        <v>101</v>
      </c>
    </row>
    <row r="26" spans="1:49">
      <c r="A26" t="s">
        <v>1</v>
      </c>
      <c r="B26" t="s">
        <v>1</v>
      </c>
      <c r="C26" t="s">
        <v>1</v>
      </c>
      <c r="D26" t="s">
        <v>1</v>
      </c>
      <c r="E26" t="s">
        <v>1</v>
      </c>
      <c r="F26" t="s">
        <v>1</v>
      </c>
      <c r="G26" t="s">
        <v>1</v>
      </c>
      <c r="H26" t="s">
        <v>1</v>
      </c>
      <c r="I26" t="s">
        <v>1</v>
      </c>
      <c r="J26" t="s">
        <v>1</v>
      </c>
      <c r="K26" t="s">
        <v>1</v>
      </c>
      <c r="L26" t="s">
        <v>20</v>
      </c>
      <c r="M26" t="s">
        <v>1</v>
      </c>
      <c r="N26" t="s">
        <v>22</v>
      </c>
      <c r="O26" t="s">
        <v>136</v>
      </c>
      <c r="P26" t="s">
        <v>137</v>
      </c>
      <c r="Q26" t="s">
        <v>138</v>
      </c>
      <c r="R26" t="s">
        <v>139</v>
      </c>
      <c r="S26" t="s">
        <v>140</v>
      </c>
      <c r="T26" t="s">
        <v>141</v>
      </c>
      <c r="U26" t="s">
        <v>54</v>
      </c>
      <c r="V26" t="s">
        <v>15</v>
      </c>
      <c r="W26" t="s">
        <v>16</v>
      </c>
      <c r="X26" t="s">
        <v>21</v>
      </c>
      <c r="Y26" t="s">
        <v>17</v>
      </c>
      <c r="Z26" t="s">
        <v>142</v>
      </c>
      <c r="AA26" t="s">
        <v>1</v>
      </c>
      <c r="AB26" t="s">
        <v>1</v>
      </c>
      <c r="AC26" t="s">
        <v>23</v>
      </c>
      <c r="AD26" t="s">
        <v>1</v>
      </c>
      <c r="AE26" t="s">
        <v>24</v>
      </c>
      <c r="AF26" t="s">
        <v>1</v>
      </c>
      <c r="AG26" t="s">
        <v>1</v>
      </c>
      <c r="AH26" t="s">
        <v>1</v>
      </c>
      <c r="AI26" t="s">
        <v>1</v>
      </c>
      <c r="AJ26" t="s">
        <v>19</v>
      </c>
      <c r="AK26" t="s">
        <v>1</v>
      </c>
      <c r="AL26" t="s">
        <v>1</v>
      </c>
      <c r="AM26" t="s">
        <v>1</v>
      </c>
      <c r="AN26" t="s">
        <v>1</v>
      </c>
      <c r="AO26" t="s">
        <v>1</v>
      </c>
      <c r="AP26" t="s">
        <v>1</v>
      </c>
      <c r="AQ26" t="s">
        <v>1</v>
      </c>
      <c r="AR26" t="s">
        <v>1</v>
      </c>
      <c r="AS26" t="s">
        <v>1</v>
      </c>
      <c r="AT26" t="s">
        <v>1</v>
      </c>
      <c r="AU26" t="s">
        <v>1</v>
      </c>
      <c r="AV26" t="s">
        <v>1</v>
      </c>
      <c r="AW26" t="s">
        <v>1</v>
      </c>
    </row>
    <row r="27" spans="1:49">
      <c r="A27">
        <v>7259813</v>
      </c>
      <c r="B27" t="s">
        <v>156</v>
      </c>
      <c r="C27">
        <v>2158316134</v>
      </c>
      <c r="D27" t="s">
        <v>157</v>
      </c>
      <c r="E27" t="s">
        <v>158</v>
      </c>
      <c r="F27" t="s">
        <v>159</v>
      </c>
      <c r="L27" t="s">
        <v>103</v>
      </c>
      <c r="N27" t="s">
        <v>104</v>
      </c>
      <c r="O27" t="s">
        <v>105</v>
      </c>
      <c r="Q27" t="s">
        <v>106</v>
      </c>
      <c r="R27" t="s">
        <v>107</v>
      </c>
      <c r="S27">
        <v>77044</v>
      </c>
      <c r="T27">
        <v>3511</v>
      </c>
      <c r="U27" t="s">
        <v>105</v>
      </c>
      <c r="W27" t="s">
        <v>106</v>
      </c>
      <c r="X27" t="s">
        <v>107</v>
      </c>
      <c r="Y27">
        <v>77044</v>
      </c>
      <c r="Z27">
        <v>3511</v>
      </c>
      <c r="AA27" s="16">
        <v>28599</v>
      </c>
      <c r="AB27" s="16">
        <v>43707</v>
      </c>
      <c r="AC27">
        <v>43</v>
      </c>
      <c r="AD27" t="s">
        <v>108</v>
      </c>
      <c r="AE27" t="s">
        <v>109</v>
      </c>
      <c r="AF27" t="s">
        <v>160</v>
      </c>
      <c r="AG27">
        <v>29</v>
      </c>
      <c r="AH27">
        <v>6</v>
      </c>
      <c r="AI27">
        <v>142</v>
      </c>
      <c r="AJ27" t="s">
        <v>102</v>
      </c>
      <c r="AK27">
        <v>96</v>
      </c>
      <c r="AO27" t="s">
        <v>110</v>
      </c>
    </row>
    <row r="28" spans="1:49">
      <c r="A28">
        <v>4104752</v>
      </c>
      <c r="B28" t="s">
        <v>161</v>
      </c>
      <c r="C28">
        <v>2156173423</v>
      </c>
      <c r="D28" t="s">
        <v>157</v>
      </c>
      <c r="E28" t="s">
        <v>162</v>
      </c>
      <c r="F28" t="s">
        <v>163</v>
      </c>
      <c r="G28" t="s">
        <v>114</v>
      </c>
      <c r="H28">
        <v>9726373358</v>
      </c>
      <c r="L28" t="s">
        <v>112</v>
      </c>
      <c r="N28" t="s">
        <v>113</v>
      </c>
      <c r="O28" t="s">
        <v>115</v>
      </c>
      <c r="Q28" t="s">
        <v>116</v>
      </c>
      <c r="R28" t="s">
        <v>107</v>
      </c>
      <c r="S28">
        <v>75104</v>
      </c>
      <c r="T28">
        <v>9100</v>
      </c>
      <c r="U28" t="s">
        <v>115</v>
      </c>
      <c r="W28" t="s">
        <v>116</v>
      </c>
      <c r="X28" t="s">
        <v>107</v>
      </c>
      <c r="Y28">
        <v>75104</v>
      </c>
      <c r="Z28">
        <v>9100</v>
      </c>
      <c r="AA28" s="16">
        <v>36861</v>
      </c>
      <c r="AB28" s="16">
        <v>43618</v>
      </c>
      <c r="AC28">
        <v>21</v>
      </c>
      <c r="AD28" t="s">
        <v>108</v>
      </c>
      <c r="AE28" t="s">
        <v>109</v>
      </c>
      <c r="AF28" t="s">
        <v>160</v>
      </c>
      <c r="AG28">
        <v>30</v>
      </c>
      <c r="AH28">
        <v>23</v>
      </c>
      <c r="AI28">
        <v>109</v>
      </c>
      <c r="AJ28" t="s">
        <v>111</v>
      </c>
      <c r="AK28">
        <v>3110</v>
      </c>
    </row>
    <row r="29" spans="1:49">
      <c r="A29">
        <v>4104753</v>
      </c>
      <c r="B29" t="s">
        <v>164</v>
      </c>
      <c r="C29">
        <v>1049409389</v>
      </c>
      <c r="D29" t="s">
        <v>157</v>
      </c>
      <c r="E29" t="s">
        <v>162</v>
      </c>
      <c r="F29" t="s">
        <v>163</v>
      </c>
      <c r="G29" t="s">
        <v>114</v>
      </c>
      <c r="H29">
        <v>9726373358</v>
      </c>
      <c r="L29" t="s">
        <v>117</v>
      </c>
      <c r="N29" t="s">
        <v>113</v>
      </c>
      <c r="O29" t="s">
        <v>115</v>
      </c>
      <c r="Q29" t="s">
        <v>116</v>
      </c>
      <c r="R29" t="s">
        <v>107</v>
      </c>
      <c r="S29">
        <v>75104</v>
      </c>
      <c r="T29">
        <v>9100</v>
      </c>
      <c r="U29" t="s">
        <v>115</v>
      </c>
      <c r="W29" t="s">
        <v>116</v>
      </c>
      <c r="X29" t="s">
        <v>107</v>
      </c>
      <c r="Y29">
        <v>75104</v>
      </c>
      <c r="Z29">
        <v>9100</v>
      </c>
      <c r="AA29" s="16">
        <v>25911</v>
      </c>
      <c r="AB29" s="16">
        <v>39507</v>
      </c>
      <c r="AC29">
        <v>51</v>
      </c>
      <c r="AD29" t="s">
        <v>108</v>
      </c>
      <c r="AE29" t="s">
        <v>118</v>
      </c>
      <c r="AF29" t="s">
        <v>160</v>
      </c>
      <c r="AG29">
        <v>30</v>
      </c>
      <c r="AH29">
        <v>23</v>
      </c>
      <c r="AI29">
        <v>109</v>
      </c>
      <c r="AJ29" t="s">
        <v>111</v>
      </c>
      <c r="AK29">
        <v>3110</v>
      </c>
      <c r="AP29" t="s">
        <v>110</v>
      </c>
    </row>
    <row r="30" spans="1:49">
      <c r="A30">
        <v>3887019</v>
      </c>
      <c r="B30" t="s">
        <v>165</v>
      </c>
      <c r="C30">
        <v>1221243020</v>
      </c>
      <c r="D30" t="s">
        <v>157</v>
      </c>
      <c r="E30" t="s">
        <v>166</v>
      </c>
      <c r="F30" t="s">
        <v>167</v>
      </c>
      <c r="G30" t="s">
        <v>122</v>
      </c>
      <c r="H30">
        <v>9724632456</v>
      </c>
      <c r="L30" t="s">
        <v>119</v>
      </c>
      <c r="M30" t="s">
        <v>120</v>
      </c>
      <c r="N30" t="s">
        <v>121</v>
      </c>
      <c r="O30" t="s">
        <v>123</v>
      </c>
      <c r="Q30" t="s">
        <v>124</v>
      </c>
      <c r="R30" t="s">
        <v>107</v>
      </c>
      <c r="S30">
        <v>75089</v>
      </c>
      <c r="T30">
        <v>1665</v>
      </c>
      <c r="U30" t="s">
        <v>123</v>
      </c>
      <c r="W30" t="s">
        <v>124</v>
      </c>
      <c r="X30" t="s">
        <v>107</v>
      </c>
      <c r="Y30">
        <v>75089</v>
      </c>
      <c r="Z30">
        <v>1665</v>
      </c>
      <c r="AA30" s="16">
        <v>35603</v>
      </c>
      <c r="AB30" s="16">
        <v>42168</v>
      </c>
      <c r="AC30">
        <v>24</v>
      </c>
      <c r="AD30" t="s">
        <v>108</v>
      </c>
      <c r="AE30" t="s">
        <v>118</v>
      </c>
      <c r="AF30" t="s">
        <v>160</v>
      </c>
      <c r="AG30">
        <v>32</v>
      </c>
      <c r="AH30">
        <v>16</v>
      </c>
      <c r="AI30">
        <v>113</v>
      </c>
      <c r="AJ30" t="s">
        <v>111</v>
      </c>
      <c r="AK30">
        <v>2921</v>
      </c>
      <c r="AM30" t="s">
        <v>110</v>
      </c>
      <c r="AO30" t="s">
        <v>110</v>
      </c>
    </row>
    <row r="35" spans="1:23">
      <c r="A35" t="s">
        <v>143</v>
      </c>
    </row>
    <row r="36" spans="1:23">
      <c r="A36" t="s">
        <v>26</v>
      </c>
      <c r="B36" t="s">
        <v>27</v>
      </c>
      <c r="C36" t="s">
        <v>28</v>
      </c>
      <c r="D36" t="s">
        <v>29</v>
      </c>
      <c r="E36" t="s">
        <v>30</v>
      </c>
      <c r="F36" t="s">
        <v>31</v>
      </c>
      <c r="G36" t="s">
        <v>32</v>
      </c>
      <c r="H36" t="s">
        <v>33</v>
      </c>
      <c r="I36" t="s">
        <v>34</v>
      </c>
      <c r="J36" t="s">
        <v>35</v>
      </c>
      <c r="K36" t="s">
        <v>36</v>
      </c>
      <c r="L36" t="s">
        <v>37</v>
      </c>
      <c r="M36" t="s">
        <v>38</v>
      </c>
      <c r="N36" t="s">
        <v>39</v>
      </c>
      <c r="O36" t="s">
        <v>55</v>
      </c>
      <c r="P36" t="s">
        <v>44</v>
      </c>
      <c r="Q36" t="s">
        <v>45</v>
      </c>
      <c r="R36" t="s">
        <v>46</v>
      </c>
    </row>
    <row r="37" spans="1:23">
      <c r="A37" t="s">
        <v>22</v>
      </c>
      <c r="B37" t="s">
        <v>49</v>
      </c>
      <c r="C37" t="s">
        <v>1</v>
      </c>
      <c r="D37" t="s">
        <v>1</v>
      </c>
      <c r="E37" t="s">
        <v>1</v>
      </c>
      <c r="F37" t="s">
        <v>1</v>
      </c>
      <c r="G37" t="s">
        <v>1</v>
      </c>
      <c r="H37" t="s">
        <v>54</v>
      </c>
      <c r="I37" t="s">
        <v>15</v>
      </c>
      <c r="J37" t="s">
        <v>16</v>
      </c>
      <c r="K37" t="s">
        <v>21</v>
      </c>
      <c r="L37" t="s">
        <v>17</v>
      </c>
      <c r="M37" t="s">
        <v>1</v>
      </c>
      <c r="N37" t="s">
        <v>1</v>
      </c>
      <c r="O37" t="s">
        <v>19</v>
      </c>
      <c r="P37" t="s">
        <v>1</v>
      </c>
      <c r="Q37" t="s">
        <v>1</v>
      </c>
      <c r="R37" t="s">
        <v>1</v>
      </c>
      <c r="S37" t="s">
        <v>23</v>
      </c>
      <c r="T37" t="s">
        <v>24</v>
      </c>
      <c r="U37" t="s">
        <v>20</v>
      </c>
      <c r="V37" t="s">
        <v>14</v>
      </c>
      <c r="W37" t="s">
        <v>56</v>
      </c>
    </row>
    <row r="39" spans="1:23">
      <c r="A39" t="s">
        <v>195</v>
      </c>
    </row>
    <row r="42" spans="1:23">
      <c r="A42" t="s">
        <v>203</v>
      </c>
    </row>
    <row r="43" spans="1:23">
      <c r="A43" t="s">
        <v>201</v>
      </c>
      <c r="B43" t="s">
        <v>204</v>
      </c>
      <c r="C43" t="s">
        <v>205</v>
      </c>
      <c r="D43" t="s">
        <v>206</v>
      </c>
      <c r="E43" t="s">
        <v>48</v>
      </c>
      <c r="F43" t="s">
        <v>207</v>
      </c>
      <c r="G43" t="s">
        <v>208</v>
      </c>
      <c r="H43" t="s">
        <v>209</v>
      </c>
      <c r="I43" t="s">
        <v>210</v>
      </c>
      <c r="J43" t="s">
        <v>211</v>
      </c>
    </row>
    <row r="53" spans="1:14">
      <c r="A53" t="s">
        <v>173</v>
      </c>
    </row>
    <row r="54" spans="1:14">
      <c r="A54" t="s">
        <v>174</v>
      </c>
      <c r="B54" t="s">
        <v>175</v>
      </c>
      <c r="C54" t="s">
        <v>176</v>
      </c>
      <c r="D54" t="s">
        <v>177</v>
      </c>
      <c r="E54" t="s">
        <v>178</v>
      </c>
      <c r="F54" t="s">
        <v>179</v>
      </c>
      <c r="G54" t="s">
        <v>12</v>
      </c>
      <c r="H54" t="s">
        <v>7</v>
      </c>
      <c r="I54" t="s">
        <v>6</v>
      </c>
      <c r="J54" t="s">
        <v>180</v>
      </c>
      <c r="K54" t="s">
        <v>181</v>
      </c>
      <c r="L54" t="s">
        <v>182</v>
      </c>
      <c r="M54" t="s">
        <v>13</v>
      </c>
    </row>
    <row r="55" spans="1:14">
      <c r="A55" t="s">
        <v>1</v>
      </c>
      <c r="B55" t="s">
        <v>14</v>
      </c>
      <c r="C55" t="s">
        <v>16</v>
      </c>
      <c r="D55" t="s">
        <v>21</v>
      </c>
      <c r="E55" t="s">
        <v>17</v>
      </c>
      <c r="F55" t="s">
        <v>1</v>
      </c>
      <c r="G55" t="s">
        <v>24</v>
      </c>
      <c r="H55" t="s">
        <v>185</v>
      </c>
      <c r="I55" t="s">
        <v>20</v>
      </c>
      <c r="J55" t="s">
        <v>1</v>
      </c>
      <c r="K55" t="s">
        <v>183</v>
      </c>
      <c r="L55" t="s">
        <v>19</v>
      </c>
      <c r="M55" t="s">
        <v>184</v>
      </c>
      <c r="N55" t="s">
        <v>22</v>
      </c>
    </row>
    <row r="58" spans="1:14">
      <c r="A58" t="s">
        <v>186</v>
      </c>
    </row>
    <row r="59" spans="1:14">
      <c r="A59" t="s">
        <v>182</v>
      </c>
      <c r="B59" t="s">
        <v>7</v>
      </c>
      <c r="C59" t="s">
        <v>6</v>
      </c>
      <c r="D59" t="s">
        <v>180</v>
      </c>
      <c r="E59" t="s">
        <v>181</v>
      </c>
      <c r="F59" t="s">
        <v>175</v>
      </c>
      <c r="G59" t="s">
        <v>176</v>
      </c>
      <c r="H59" t="s">
        <v>177</v>
      </c>
      <c r="I59" t="s">
        <v>178</v>
      </c>
      <c r="J59" t="s">
        <v>179</v>
      </c>
      <c r="K59" t="s">
        <v>12</v>
      </c>
      <c r="L59" t="s">
        <v>144</v>
      </c>
      <c r="M59" t="s">
        <v>187</v>
      </c>
    </row>
    <row r="60" spans="1:14">
      <c r="A60" t="s">
        <v>19</v>
      </c>
      <c r="B60" t="s">
        <v>185</v>
      </c>
      <c r="C60" t="s">
        <v>20</v>
      </c>
      <c r="D60" t="s">
        <v>1</v>
      </c>
      <c r="E60" t="s">
        <v>183</v>
      </c>
      <c r="F60" t="s">
        <v>14</v>
      </c>
      <c r="G60" t="s">
        <v>16</v>
      </c>
      <c r="H60" t="s">
        <v>21</v>
      </c>
      <c r="I60" t="s">
        <v>17</v>
      </c>
      <c r="J60" t="s">
        <v>1</v>
      </c>
      <c r="K60" t="s">
        <v>24</v>
      </c>
      <c r="L60" t="s">
        <v>184</v>
      </c>
      <c r="M60" t="s">
        <v>1</v>
      </c>
      <c r="N60" t="s">
        <v>22</v>
      </c>
    </row>
    <row r="64" spans="1:14">
      <c r="A64" t="s">
        <v>202</v>
      </c>
    </row>
    <row r="65" spans="1:21">
      <c r="A65" t="s">
        <v>174</v>
      </c>
      <c r="B65" t="s">
        <v>7</v>
      </c>
      <c r="C65" t="s">
        <v>6</v>
      </c>
      <c r="D65" t="s">
        <v>180</v>
      </c>
      <c r="E65" t="s">
        <v>181</v>
      </c>
      <c r="F65" t="s">
        <v>175</v>
      </c>
      <c r="G65" t="s">
        <v>176</v>
      </c>
      <c r="H65" t="s">
        <v>177</v>
      </c>
      <c r="I65" t="s">
        <v>178</v>
      </c>
      <c r="J65" t="s">
        <v>179</v>
      </c>
      <c r="K65" t="s">
        <v>12</v>
      </c>
      <c r="L65" t="s">
        <v>144</v>
      </c>
      <c r="M65" t="s">
        <v>182</v>
      </c>
    </row>
    <row r="66" spans="1:21">
      <c r="A66" t="s">
        <v>1</v>
      </c>
      <c r="B66" t="s">
        <v>185</v>
      </c>
      <c r="C66" t="s">
        <v>20</v>
      </c>
      <c r="D66" t="s">
        <v>1</v>
      </c>
      <c r="E66" t="s">
        <v>183</v>
      </c>
      <c r="F66" t="s">
        <v>14</v>
      </c>
      <c r="G66" t="s">
        <v>16</v>
      </c>
      <c r="H66" t="s">
        <v>21</v>
      </c>
      <c r="I66" t="s">
        <v>17</v>
      </c>
      <c r="J66" t="s">
        <v>1</v>
      </c>
      <c r="K66" t="s">
        <v>24</v>
      </c>
      <c r="L66" t="s">
        <v>184</v>
      </c>
      <c r="M66" t="s">
        <v>19</v>
      </c>
      <c r="N66" t="s">
        <v>22</v>
      </c>
    </row>
    <row r="71" spans="1:21">
      <c r="A71" t="s">
        <v>231</v>
      </c>
    </row>
    <row r="72" spans="1:21">
      <c r="A72" t="s">
        <v>174</v>
      </c>
      <c r="B72" t="s">
        <v>175</v>
      </c>
      <c r="C72" t="s">
        <v>176</v>
      </c>
      <c r="D72" t="s">
        <v>177</v>
      </c>
      <c r="E72" t="s">
        <v>178</v>
      </c>
      <c r="F72" t="s">
        <v>179</v>
      </c>
      <c r="G72" t="s">
        <v>12</v>
      </c>
      <c r="H72" t="s">
        <v>8</v>
      </c>
      <c r="I72" t="s">
        <v>9</v>
      </c>
      <c r="J72" t="s">
        <v>10</v>
      </c>
      <c r="K72" t="s">
        <v>219</v>
      </c>
      <c r="L72" t="s">
        <v>220</v>
      </c>
      <c r="M72" t="s">
        <v>7</v>
      </c>
      <c r="N72" t="s">
        <v>6</v>
      </c>
      <c r="O72" t="s">
        <v>180</v>
      </c>
      <c r="P72" t="s">
        <v>181</v>
      </c>
      <c r="Q72" t="s">
        <v>44</v>
      </c>
      <c r="R72" t="s">
        <v>45</v>
      </c>
      <c r="S72" t="s">
        <v>221</v>
      </c>
      <c r="T72" t="s">
        <v>222</v>
      </c>
      <c r="U72" t="s">
        <v>223</v>
      </c>
    </row>
    <row r="73" spans="1:21">
      <c r="A73">
        <v>11687230</v>
      </c>
      <c r="B73" t="s">
        <v>224</v>
      </c>
      <c r="C73" t="s">
        <v>225</v>
      </c>
      <c r="D73" t="s">
        <v>226</v>
      </c>
      <c r="E73">
        <v>85132</v>
      </c>
      <c r="F73">
        <v>5612</v>
      </c>
      <c r="G73" t="s">
        <v>227</v>
      </c>
      <c r="H73" t="s">
        <v>224</v>
      </c>
      <c r="I73" t="s">
        <v>225</v>
      </c>
      <c r="J73" t="s">
        <v>226</v>
      </c>
      <c r="K73">
        <v>85132</v>
      </c>
      <c r="L73">
        <v>5612</v>
      </c>
      <c r="M73" t="s">
        <v>228</v>
      </c>
      <c r="N73" t="s">
        <v>229</v>
      </c>
      <c r="O73" t="s">
        <v>230</v>
      </c>
      <c r="Q73">
        <v>2</v>
      </c>
      <c r="R73">
        <v>7</v>
      </c>
      <c r="S73">
        <v>7</v>
      </c>
      <c r="U73">
        <v>4806298284</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17D9-C87F-E844-99BE-D9AFD46557DB}">
  <dimension ref="A1:L33"/>
  <sheetViews>
    <sheetView zoomScale="125" zoomScaleNormal="125" workbookViewId="0"/>
  </sheetViews>
  <sheetFormatPr baseColWidth="10" defaultColWidth="10.83203125" defaultRowHeight="15"/>
  <cols>
    <col min="1" max="7" width="5.33203125" customWidth="1"/>
  </cols>
  <sheetData>
    <row r="1" spans="1:12" ht="16">
      <c r="A1" s="10" t="s">
        <v>287</v>
      </c>
      <c r="L1" s="34" t="s">
        <v>273</v>
      </c>
    </row>
    <row r="2" spans="1:12" ht="16">
      <c r="B2" s="39"/>
      <c r="C2" s="11"/>
    </row>
    <row r="3" spans="1:12" ht="16">
      <c r="B3" t="s">
        <v>234</v>
      </c>
      <c r="C3" s="12"/>
    </row>
    <row r="4" spans="1:12" ht="16">
      <c r="C4" t="s">
        <v>246</v>
      </c>
      <c r="D4" s="12"/>
    </row>
    <row r="5" spans="1:12">
      <c r="C5" t="s">
        <v>247</v>
      </c>
    </row>
    <row r="6" spans="1:12" ht="16">
      <c r="C6" t="s">
        <v>246</v>
      </c>
      <c r="D6" s="12"/>
    </row>
    <row r="7" spans="1:12" ht="16">
      <c r="C7" t="s">
        <v>267</v>
      </c>
      <c r="D7" s="12"/>
    </row>
    <row r="8" spans="1:12" ht="16">
      <c r="C8" t="s">
        <v>248</v>
      </c>
      <c r="D8" s="11"/>
    </row>
    <row r="9" spans="1:12" ht="16">
      <c r="C9" t="s">
        <v>249</v>
      </c>
      <c r="D9" s="12"/>
    </row>
    <row r="10" spans="1:12">
      <c r="C10" t="s">
        <v>250</v>
      </c>
    </row>
    <row r="11" spans="1:12">
      <c r="C11" t="s">
        <v>251</v>
      </c>
    </row>
    <row r="12" spans="1:12" ht="16">
      <c r="D12" s="12"/>
    </row>
    <row r="13" spans="1:12" ht="16">
      <c r="C13" t="s">
        <v>283</v>
      </c>
      <c r="D13" s="12"/>
    </row>
    <row r="14" spans="1:12">
      <c r="D14" s="9" t="s">
        <v>290</v>
      </c>
    </row>
    <row r="15" spans="1:12" ht="16">
      <c r="C15" t="s">
        <v>252</v>
      </c>
      <c r="D15" s="12"/>
    </row>
    <row r="16" spans="1:12">
      <c r="D16" t="s">
        <v>235</v>
      </c>
    </row>
    <row r="19" spans="2:4" ht="16">
      <c r="B19" t="s">
        <v>237</v>
      </c>
      <c r="C19" s="11"/>
      <c r="D19" s="12"/>
    </row>
    <row r="20" spans="2:4" ht="16">
      <c r="B20" t="s">
        <v>236</v>
      </c>
      <c r="C20" s="12"/>
      <c r="D20" s="12"/>
    </row>
    <row r="21" spans="2:4" ht="16">
      <c r="C21" s="11"/>
      <c r="D21" s="12"/>
    </row>
    <row r="22" spans="2:4">
      <c r="B22" t="s">
        <v>258</v>
      </c>
    </row>
    <row r="23" spans="2:4">
      <c r="B23" t="s">
        <v>242</v>
      </c>
    </row>
    <row r="24" spans="2:4">
      <c r="B24" t="s">
        <v>243</v>
      </c>
    </row>
    <row r="26" spans="2:4" ht="16">
      <c r="B26" t="s">
        <v>259</v>
      </c>
      <c r="C26" s="11"/>
      <c r="D26" s="12"/>
    </row>
    <row r="27" spans="2:4" ht="16">
      <c r="C27" s="11"/>
      <c r="D27" s="12"/>
    </row>
    <row r="28" spans="2:4" ht="16">
      <c r="B28" t="s">
        <v>238</v>
      </c>
      <c r="C28" s="11"/>
      <c r="D28" s="12"/>
    </row>
    <row r="29" spans="2:4" ht="16">
      <c r="B29" t="s">
        <v>239</v>
      </c>
      <c r="C29" s="13"/>
    </row>
    <row r="30" spans="2:4" ht="16">
      <c r="B30" t="s">
        <v>240</v>
      </c>
      <c r="C30" s="11"/>
      <c r="D30" s="12"/>
    </row>
    <row r="31" spans="2:4">
      <c r="B31" t="s">
        <v>241</v>
      </c>
    </row>
    <row r="32" spans="2:4">
      <c r="B32" t="s">
        <v>244</v>
      </c>
    </row>
    <row r="33" spans="2:2">
      <c r="B33" t="s">
        <v>245</v>
      </c>
    </row>
  </sheetData>
  <sortState ref="A4:D30">
    <sortCondition descending="1" ref="A3:A30"/>
    <sortCondition ref="B3:B30"/>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Setup</vt:lpstr>
      <vt:lpstr>FileList</vt:lpstr>
      <vt:lpstr>first_code</vt:lpstr>
      <vt:lpstr>middle_code</vt:lpstr>
      <vt:lpstr>last_code</vt:lpstr>
      <vt:lpstr>ZipSkip</vt:lpstr>
      <vt:lpstr>FormatCopies</vt:lpstr>
      <vt:lpstr>Sincere Patterns</vt:lpstr>
      <vt:lpstr>Load VL checklist group5</vt:lpstr>
      <vt:lpstr>Load VL checklist group4</vt:lpstr>
      <vt:lpstr>std field lists</vt:lpstr>
      <vt:lpstr>last_code_old</vt:lpstr>
      <vt:lpstr>Setup!Print_Area</vt:lpstr>
      <vt:lpstr>'Load VL checklist group4'!state</vt:lpstr>
      <vt:lpstr>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Trounstine</dc:creator>
  <cp:lastModifiedBy>Brian Kramer</cp:lastModifiedBy>
  <cp:lastPrinted>2022-11-01T21:54:17Z</cp:lastPrinted>
  <dcterms:created xsi:type="dcterms:W3CDTF">2020-02-07T17:01:37Z</dcterms:created>
  <dcterms:modified xsi:type="dcterms:W3CDTF">2024-02-09T19:52:06Z</dcterms:modified>
</cp:coreProperties>
</file>